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ကုန်တက် 11.10.2026\"/>
    </mc:Choice>
  </mc:AlternateContent>
  <xr:revisionPtr revIDLastSave="0" documentId="13_ncr:1_{17E65621-208D-4E18-B9D1-AE7FB821162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awMain" sheetId="2" r:id="rId1"/>
    <sheet name="raw" sheetId="1" r:id="rId2"/>
    <sheet name="temp" sheetId="3" r:id="rId3"/>
    <sheet name="replace_map" sheetId="4" r:id="rId4"/>
  </sheets>
  <definedNames>
    <definedName name="_xlnm._FilterDatabase" localSheetId="1" hidden="1">raw!$A$1:$G$397</definedName>
    <definedName name="_xlnm._FilterDatabase" localSheetId="0" hidden="1">rawMain!$A$1:$H$82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91" i="1" l="1"/>
  <c r="C2" i="2"/>
  <c r="C3" i="2"/>
  <c r="C4" i="2"/>
  <c r="C5" i="2"/>
  <c r="C6" i="2"/>
  <c r="G2" i="1" a="1"/>
  <c r="G2" i="1" s="1"/>
  <c r="I5" i="3" a="1"/>
  <c r="I5" i="3" s="1"/>
  <c r="H5" i="3" a="1"/>
  <c r="H5" i="3" s="1"/>
  <c r="C7" i="2" l="1"/>
  <c r="D3" i="2"/>
  <c r="E3" i="2"/>
  <c r="F3" i="2"/>
  <c r="G3" i="2"/>
  <c r="H3" i="2"/>
  <c r="D4" i="2"/>
  <c r="E4" i="2"/>
  <c r="F4" i="2"/>
  <c r="G4" i="2"/>
  <c r="H4" i="2"/>
  <c r="D5" i="2"/>
  <c r="E5" i="2"/>
  <c r="F5" i="2"/>
  <c r="G5" i="2"/>
  <c r="H5" i="2"/>
  <c r="D6" i="2"/>
  <c r="E6" i="2"/>
  <c r="F6" i="2"/>
  <c r="G6" i="2"/>
  <c r="H6" i="2"/>
  <c r="D7" i="2"/>
  <c r="E7" i="2"/>
  <c r="F7" i="2"/>
  <c r="G7" i="2"/>
  <c r="H7" i="2"/>
  <c r="C8" i="2"/>
  <c r="D8" i="2"/>
  <c r="E8" i="2"/>
  <c r="F8" i="2"/>
  <c r="G8" i="2"/>
  <c r="H8" i="2"/>
  <c r="C9" i="2"/>
  <c r="D9" i="2"/>
  <c r="E9" i="2"/>
  <c r="F9" i="2"/>
  <c r="G9" i="2"/>
  <c r="H9" i="2"/>
  <c r="C10" i="2"/>
  <c r="D10" i="2"/>
  <c r="E10" i="2"/>
  <c r="F10" i="2"/>
  <c r="G10" i="2"/>
  <c r="H10" i="2"/>
  <c r="C11" i="2"/>
  <c r="D11" i="2"/>
  <c r="E11" i="2"/>
  <c r="F11" i="2"/>
  <c r="G11" i="2"/>
  <c r="H11" i="2"/>
  <c r="C12" i="2"/>
  <c r="D12" i="2"/>
  <c r="E12" i="2"/>
  <c r="F12" i="2"/>
  <c r="G12" i="2"/>
  <c r="H12" i="2"/>
  <c r="C13" i="2"/>
  <c r="D13" i="2"/>
  <c r="E13" i="2"/>
  <c r="F13" i="2"/>
  <c r="G13" i="2"/>
  <c r="H13" i="2"/>
  <c r="C14" i="2"/>
  <c r="D14" i="2"/>
  <c r="E14" i="2"/>
  <c r="F14" i="2"/>
  <c r="G14" i="2"/>
  <c r="H14" i="2"/>
  <c r="C15" i="2"/>
  <c r="D15" i="2"/>
  <c r="E15" i="2"/>
  <c r="F15" i="2"/>
  <c r="G15" i="2"/>
  <c r="H15" i="2"/>
  <c r="C16" i="2"/>
  <c r="D16" i="2"/>
  <c r="E16" i="2"/>
  <c r="F16" i="2"/>
  <c r="G16" i="2"/>
  <c r="H16" i="2"/>
  <c r="C17" i="2"/>
  <c r="D17" i="2"/>
  <c r="E17" i="2"/>
  <c r="F17" i="2"/>
  <c r="G17" i="2"/>
  <c r="H17" i="2"/>
  <c r="C18" i="2"/>
  <c r="D18" i="2"/>
  <c r="E18" i="2"/>
  <c r="F18" i="2"/>
  <c r="G18" i="2"/>
  <c r="H18" i="2"/>
  <c r="C19" i="2"/>
  <c r="D19" i="2"/>
  <c r="E19" i="2"/>
  <c r="F19" i="2"/>
  <c r="G19" i="2"/>
  <c r="H19" i="2"/>
  <c r="C20" i="2"/>
  <c r="D20" i="2"/>
  <c r="E20" i="2"/>
  <c r="F20" i="2"/>
  <c r="G20" i="2"/>
  <c r="H20" i="2"/>
  <c r="C21" i="2"/>
  <c r="D21" i="2"/>
  <c r="E21" i="2"/>
  <c r="F21" i="2"/>
  <c r="G21" i="2"/>
  <c r="H21" i="2"/>
  <c r="C22" i="2"/>
  <c r="D22" i="2"/>
  <c r="E22" i="2"/>
  <c r="F22" i="2"/>
  <c r="G22" i="2"/>
  <c r="H22" i="2"/>
  <c r="C23" i="2"/>
  <c r="D23" i="2"/>
  <c r="E23" i="2"/>
  <c r="F23" i="2"/>
  <c r="G23" i="2"/>
  <c r="H23" i="2"/>
  <c r="C24" i="2"/>
  <c r="D24" i="2"/>
  <c r="E24" i="2"/>
  <c r="F24" i="2"/>
  <c r="G24" i="2"/>
  <c r="H24" i="2"/>
  <c r="C25" i="2"/>
  <c r="D25" i="2"/>
  <c r="E25" i="2"/>
  <c r="F25" i="2"/>
  <c r="G25" i="2"/>
  <c r="H25" i="2"/>
  <c r="C26" i="2"/>
  <c r="D26" i="2"/>
  <c r="E26" i="2"/>
  <c r="F26" i="2"/>
  <c r="G26" i="2"/>
  <c r="H26" i="2"/>
  <c r="C27" i="2"/>
  <c r="D27" i="2"/>
  <c r="E27" i="2"/>
  <c r="F27" i="2"/>
  <c r="G27" i="2"/>
  <c r="H27" i="2"/>
  <c r="C28" i="2"/>
  <c r="D28" i="2"/>
  <c r="E28" i="2"/>
  <c r="F28" i="2"/>
  <c r="G28" i="2"/>
  <c r="H28" i="2"/>
  <c r="C29" i="2"/>
  <c r="D29" i="2"/>
  <c r="E29" i="2"/>
  <c r="F29" i="2"/>
  <c r="G29" i="2"/>
  <c r="H29" i="2"/>
  <c r="C30" i="2"/>
  <c r="D30" i="2"/>
  <c r="E30" i="2"/>
  <c r="F30" i="2"/>
  <c r="G30" i="2"/>
  <c r="H30" i="2"/>
  <c r="C31" i="2"/>
  <c r="D31" i="2"/>
  <c r="E31" i="2"/>
  <c r="F31" i="2"/>
  <c r="G31" i="2"/>
  <c r="H31" i="2"/>
  <c r="C32" i="2"/>
  <c r="D32" i="2"/>
  <c r="E32" i="2"/>
  <c r="F32" i="2"/>
  <c r="G32" i="2"/>
  <c r="H32" i="2"/>
  <c r="C33" i="2"/>
  <c r="D33" i="2"/>
  <c r="E33" i="2"/>
  <c r="F33" i="2"/>
  <c r="G33" i="2"/>
  <c r="H33" i="2"/>
  <c r="C34" i="2"/>
  <c r="D34" i="2"/>
  <c r="E34" i="2"/>
  <c r="F34" i="2"/>
  <c r="G34" i="2"/>
  <c r="H34" i="2"/>
  <c r="C35" i="2"/>
  <c r="D35" i="2"/>
  <c r="E35" i="2"/>
  <c r="F35" i="2"/>
  <c r="G35" i="2"/>
  <c r="H35" i="2"/>
  <c r="C36" i="2"/>
  <c r="D36" i="2"/>
  <c r="E36" i="2"/>
  <c r="F36" i="2"/>
  <c r="G36" i="2"/>
  <c r="H36" i="2"/>
  <c r="C37" i="2"/>
  <c r="D37" i="2"/>
  <c r="E37" i="2"/>
  <c r="F37" i="2"/>
  <c r="G37" i="2"/>
  <c r="H37" i="2"/>
  <c r="C38" i="2"/>
  <c r="D38" i="2"/>
  <c r="E38" i="2"/>
  <c r="F38" i="2"/>
  <c r="G38" i="2"/>
  <c r="H38" i="2"/>
  <c r="C39" i="2"/>
  <c r="D39" i="2"/>
  <c r="E39" i="2"/>
  <c r="F39" i="2"/>
  <c r="G39" i="2"/>
  <c r="H39" i="2"/>
  <c r="C40" i="2"/>
  <c r="D40" i="2"/>
  <c r="E40" i="2"/>
  <c r="F40" i="2"/>
  <c r="G40" i="2"/>
  <c r="H40" i="2"/>
  <c r="C41" i="2"/>
  <c r="D41" i="2"/>
  <c r="E41" i="2"/>
  <c r="F41" i="2"/>
  <c r="G41" i="2"/>
  <c r="H41" i="2"/>
  <c r="C42" i="2"/>
  <c r="D42" i="2"/>
  <c r="E42" i="2"/>
  <c r="F42" i="2"/>
  <c r="G42" i="2"/>
  <c r="H42" i="2"/>
  <c r="C43" i="2"/>
  <c r="D43" i="2"/>
  <c r="E43" i="2"/>
  <c r="F43" i="2"/>
  <c r="G43" i="2"/>
  <c r="H43" i="2"/>
  <c r="C44" i="2"/>
  <c r="D44" i="2"/>
  <c r="E44" i="2"/>
  <c r="F44" i="2"/>
  <c r="G44" i="2"/>
  <c r="H44" i="2"/>
  <c r="C45" i="2"/>
  <c r="D45" i="2"/>
  <c r="E45" i="2"/>
  <c r="F45" i="2"/>
  <c r="G45" i="2"/>
  <c r="H45" i="2"/>
  <c r="C46" i="2"/>
  <c r="D46" i="2"/>
  <c r="E46" i="2"/>
  <c r="F46" i="2"/>
  <c r="G46" i="2"/>
  <c r="H46" i="2"/>
  <c r="C47" i="2"/>
  <c r="D47" i="2"/>
  <c r="E47" i="2"/>
  <c r="F47" i="2"/>
  <c r="G47" i="2"/>
  <c r="H47" i="2"/>
  <c r="C48" i="2"/>
  <c r="D48" i="2"/>
  <c r="E48" i="2"/>
  <c r="F48" i="2"/>
  <c r="G48" i="2"/>
  <c r="H48" i="2"/>
  <c r="C49" i="2"/>
  <c r="D49" i="2"/>
  <c r="E49" i="2"/>
  <c r="F49" i="2"/>
  <c r="G49" i="2"/>
  <c r="H49" i="2"/>
  <c r="C50" i="2"/>
  <c r="D50" i="2"/>
  <c r="E50" i="2"/>
  <c r="F50" i="2"/>
  <c r="G50" i="2"/>
  <c r="H50" i="2"/>
  <c r="C51" i="2"/>
  <c r="D51" i="2"/>
  <c r="E51" i="2"/>
  <c r="F51" i="2"/>
  <c r="G51" i="2"/>
  <c r="H51" i="2"/>
  <c r="C52" i="2"/>
  <c r="D52" i="2"/>
  <c r="E52" i="2"/>
  <c r="F52" i="2"/>
  <c r="G52" i="2"/>
  <c r="H52" i="2"/>
  <c r="C53" i="2"/>
  <c r="D53" i="2"/>
  <c r="E53" i="2"/>
  <c r="F53" i="2"/>
  <c r="G53" i="2"/>
  <c r="H53" i="2"/>
  <c r="C54" i="2"/>
  <c r="D54" i="2"/>
  <c r="E54" i="2"/>
  <c r="F54" i="2"/>
  <c r="G54" i="2"/>
  <c r="H54" i="2"/>
  <c r="C55" i="2"/>
  <c r="D55" i="2"/>
  <c r="E55" i="2"/>
  <c r="F55" i="2"/>
  <c r="G55" i="2"/>
  <c r="H55" i="2"/>
  <c r="C56" i="2"/>
  <c r="D56" i="2"/>
  <c r="E56" i="2"/>
  <c r="F56" i="2"/>
  <c r="G56" i="2"/>
  <c r="H56" i="2"/>
  <c r="C57" i="2"/>
  <c r="D57" i="2"/>
  <c r="E57" i="2"/>
  <c r="F57" i="2"/>
  <c r="G57" i="2"/>
  <c r="H57" i="2"/>
  <c r="C58" i="2"/>
  <c r="D58" i="2"/>
  <c r="E58" i="2"/>
  <c r="F58" i="2"/>
  <c r="G58" i="2"/>
  <c r="H58" i="2"/>
  <c r="C59" i="2"/>
  <c r="D59" i="2"/>
  <c r="E59" i="2"/>
  <c r="F59" i="2"/>
  <c r="G59" i="2"/>
  <c r="H59" i="2"/>
  <c r="C60" i="2"/>
  <c r="D60" i="2"/>
  <c r="E60" i="2"/>
  <c r="F60" i="2"/>
  <c r="G60" i="2"/>
  <c r="H60" i="2"/>
  <c r="C61" i="2"/>
  <c r="D61" i="2"/>
  <c r="E61" i="2"/>
  <c r="F61" i="2"/>
  <c r="G61" i="2"/>
  <c r="H61" i="2"/>
  <c r="C62" i="2"/>
  <c r="D62" i="2"/>
  <c r="E62" i="2"/>
  <c r="F62" i="2"/>
  <c r="G62" i="2"/>
  <c r="H62" i="2"/>
  <c r="C63" i="2"/>
  <c r="D63" i="2"/>
  <c r="E63" i="2"/>
  <c r="F63" i="2"/>
  <c r="G63" i="2"/>
  <c r="H63" i="2"/>
  <c r="C64" i="2"/>
  <c r="D64" i="2"/>
  <c r="E64" i="2"/>
  <c r="F64" i="2"/>
  <c r="G64" i="2"/>
  <c r="H64" i="2"/>
  <c r="C65" i="2"/>
  <c r="D65" i="2"/>
  <c r="E65" i="2"/>
  <c r="F65" i="2"/>
  <c r="G65" i="2"/>
  <c r="H65" i="2"/>
  <c r="C66" i="2"/>
  <c r="D66" i="2"/>
  <c r="E66" i="2"/>
  <c r="F66" i="2"/>
  <c r="G66" i="2"/>
  <c r="H66" i="2"/>
  <c r="C67" i="2"/>
  <c r="D67" i="2"/>
  <c r="E67" i="2"/>
  <c r="F67" i="2"/>
  <c r="G67" i="2"/>
  <c r="H67" i="2"/>
  <c r="C68" i="2"/>
  <c r="D68" i="2"/>
  <c r="E68" i="2"/>
  <c r="F68" i="2"/>
  <c r="G68" i="2"/>
  <c r="H68" i="2"/>
  <c r="C69" i="2"/>
  <c r="D69" i="2"/>
  <c r="E69" i="2"/>
  <c r="F69" i="2"/>
  <c r="G69" i="2"/>
  <c r="H69" i="2"/>
  <c r="C70" i="2"/>
  <c r="D70" i="2"/>
  <c r="E70" i="2"/>
  <c r="F70" i="2"/>
  <c r="G70" i="2"/>
  <c r="H70" i="2"/>
  <c r="C71" i="2"/>
  <c r="D71" i="2"/>
  <c r="E71" i="2"/>
  <c r="F71" i="2"/>
  <c r="G71" i="2"/>
  <c r="H71" i="2"/>
  <c r="C72" i="2"/>
  <c r="D72" i="2"/>
  <c r="E72" i="2"/>
  <c r="F72" i="2"/>
  <c r="G72" i="2"/>
  <c r="H72" i="2"/>
  <c r="C73" i="2"/>
  <c r="D73" i="2"/>
  <c r="E73" i="2"/>
  <c r="F73" i="2"/>
  <c r="G73" i="2"/>
  <c r="H73" i="2"/>
  <c r="C74" i="2"/>
  <c r="D74" i="2"/>
  <c r="E74" i="2"/>
  <c r="F74" i="2"/>
  <c r="G74" i="2"/>
  <c r="H74" i="2"/>
  <c r="C75" i="2"/>
  <c r="D75" i="2"/>
  <c r="E75" i="2"/>
  <c r="F75" i="2"/>
  <c r="G75" i="2"/>
  <c r="H75" i="2"/>
  <c r="C76" i="2"/>
  <c r="D76" i="2"/>
  <c r="E76" i="2"/>
  <c r="F76" i="2"/>
  <c r="G76" i="2"/>
  <c r="H76" i="2"/>
  <c r="C77" i="2"/>
  <c r="D77" i="2"/>
  <c r="E77" i="2"/>
  <c r="F77" i="2"/>
  <c r="G77" i="2"/>
  <c r="H77" i="2"/>
  <c r="C78" i="2"/>
  <c r="D78" i="2"/>
  <c r="E78" i="2"/>
  <c r="F78" i="2"/>
  <c r="G78" i="2"/>
  <c r="H78" i="2"/>
  <c r="C79" i="2"/>
  <c r="D79" i="2"/>
  <c r="E79" i="2"/>
  <c r="F79" i="2"/>
  <c r="G79" i="2"/>
  <c r="H79" i="2"/>
  <c r="C80" i="2"/>
  <c r="D80" i="2"/>
  <c r="E80" i="2"/>
  <c r="F80" i="2"/>
  <c r="G80" i="2"/>
  <c r="H80" i="2"/>
  <c r="C81" i="2"/>
  <c r="D81" i="2"/>
  <c r="E81" i="2"/>
  <c r="F81" i="2"/>
  <c r="G81" i="2"/>
  <c r="H81" i="2"/>
  <c r="D2" i="2"/>
  <c r="E2" i="2"/>
  <c r="F2" i="2"/>
  <c r="G2" i="2"/>
  <c r="H2" i="2"/>
  <c r="E82" i="2" l="1"/>
  <c r="D82" i="2"/>
  <c r="H82" i="2"/>
  <c r="G82" i="2"/>
  <c r="F82" i="2"/>
  <c r="C82" i="2" l="1"/>
  <c r="D2" i="3" l="1" a="1"/>
  <c r="D2" i="3" s="1"/>
  <c r="A1" i="3" a="1"/>
  <c r="F3" i="3" s="1" a="1"/>
  <c r="F3" i="3" s="1"/>
  <c r="A1" i="3" l="1"/>
  <c r="K84" i="2"/>
  <c r="K85" i="2" s="1"/>
  <c r="K12" i="2" l="1"/>
  <c r="K3" i="2"/>
  <c r="K63" i="2"/>
  <c r="K11" i="2"/>
  <c r="K10" i="2"/>
  <c r="K7" i="2"/>
  <c r="K5" i="2"/>
  <c r="K67" i="2"/>
  <c r="K77" i="2"/>
  <c r="K74" i="2"/>
  <c r="K65" i="2"/>
  <c r="K62" i="2"/>
  <c r="K56" i="2"/>
  <c r="K50" i="2"/>
  <c r="K44" i="2"/>
  <c r="K71" i="2"/>
  <c r="K68" i="2"/>
  <c r="K55" i="2"/>
  <c r="K51" i="2"/>
  <c r="K43" i="2"/>
  <c r="K39" i="2"/>
  <c r="K31" i="2"/>
  <c r="K27" i="2"/>
  <c r="K25" i="2"/>
  <c r="K22" i="2"/>
  <c r="K19" i="2"/>
  <c r="K15" i="2"/>
  <c r="K13" i="2"/>
  <c r="K79" i="2"/>
  <c r="K73" i="2"/>
  <c r="K70" i="2"/>
  <c r="K61" i="2"/>
  <c r="K58" i="2"/>
  <c r="K52" i="2"/>
  <c r="K49" i="2"/>
  <c r="K46" i="2"/>
  <c r="K40" i="2"/>
  <c r="K37" i="2"/>
  <c r="K34" i="2"/>
  <c r="K28" i="2"/>
  <c r="K16" i="2"/>
  <c r="K4" i="2"/>
  <c r="K76" i="2"/>
  <c r="K64" i="2"/>
  <c r="K75" i="2"/>
  <c r="K72" i="2"/>
  <c r="K60" i="2"/>
  <c r="K59" i="2"/>
  <c r="K53" i="2"/>
  <c r="K48" i="2"/>
  <c r="K47" i="2"/>
  <c r="K45" i="2"/>
  <c r="K41" i="2"/>
  <c r="K38" i="2"/>
  <c r="K36" i="2"/>
  <c r="K35" i="2"/>
  <c r="K33" i="2"/>
  <c r="K32" i="2"/>
  <c r="K30" i="2"/>
  <c r="K29" i="2"/>
  <c r="K24" i="2"/>
  <c r="K23" i="2"/>
  <c r="K21" i="2"/>
  <c r="K20" i="2"/>
  <c r="K18" i="2"/>
  <c r="K17" i="2"/>
  <c r="K14" i="2"/>
  <c r="K9" i="2"/>
  <c r="K8" i="2"/>
  <c r="K6" i="2"/>
  <c r="K42" i="2"/>
  <c r="K69" i="2"/>
  <c r="K57" i="2"/>
  <c r="K54" i="2"/>
  <c r="K80" i="2"/>
  <c r="K81" i="2"/>
  <c r="K78" i="2"/>
  <c r="K66" i="2"/>
  <c r="K26" i="2"/>
  <c r="K2" i="2"/>
  <c r="K8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<sst xmlns="http://schemas.openxmlformats.org/spreadsheetml/2006/main" count="1394" uniqueCount="198">
  <si>
    <t>Item Code</t>
  </si>
  <si>
    <t>Qty</t>
  </si>
  <si>
    <t>SubTotal</t>
  </si>
  <si>
    <t>ငါးမဲလုံး</t>
  </si>
  <si>
    <t>အိုးတန်း</t>
  </si>
  <si>
    <t>ငှက်ပျောသီး</t>
  </si>
  <si>
    <t>ငါးစုံ</t>
  </si>
  <si>
    <t>ငါးဇင်းပြား</t>
  </si>
  <si>
    <t>ငါးဖောင်ရိုး</t>
  </si>
  <si>
    <t>ဒါးမထိုး</t>
  </si>
  <si>
    <t>ဒါးလွယ်</t>
  </si>
  <si>
    <t>ပလာတူး</t>
  </si>
  <si>
    <t>ဖရဲသီး</t>
  </si>
  <si>
    <t>ဘီးဇင်း</t>
  </si>
  <si>
    <t>မျက်ကျယ်</t>
  </si>
  <si>
    <t>မြီးလုံး</t>
  </si>
  <si>
    <t>ကင်းမွန်</t>
  </si>
  <si>
    <t>ငါးဆင်ခေါင်း</t>
  </si>
  <si>
    <t>ငါးမုတ်မဲ</t>
  </si>
  <si>
    <t>ငါးရံ့</t>
  </si>
  <si>
    <t>ဆာတီး</t>
  </si>
  <si>
    <t>ဒိုး</t>
  </si>
  <si>
    <t>ဓါးမ</t>
  </si>
  <si>
    <t>ငါးသလောက်</t>
  </si>
  <si>
    <t>ဂုံးညို</t>
  </si>
  <si>
    <t>ငါးလက်ဝါး</t>
  </si>
  <si>
    <t>ငါးမုတ်ဖြူ</t>
  </si>
  <si>
    <t>ပုစွန်ဖြူ</t>
  </si>
  <si>
    <t>ဂဏန်း</t>
  </si>
  <si>
    <t>မျှင်ပုစွန်</t>
  </si>
  <si>
    <t>သဲဂဏန်း</t>
  </si>
  <si>
    <t>ငါးကွင်းရှပ်/ဘီးဇင်း</t>
  </si>
  <si>
    <t>ပြည်ကြီးငါး</t>
  </si>
  <si>
    <t>ပန်းရောင်ပုစွန် (ရွှေရောင်)</t>
  </si>
  <si>
    <t>ပန်းရောင်ပုစွန် (သဲပွင့်)</t>
  </si>
  <si>
    <t xml:space="preserve">ပန်းရောင်ပုစွန် </t>
  </si>
  <si>
    <t>ပန်းရောင်ပုစွန် (အခွံပျော့)</t>
  </si>
  <si>
    <t>ပန်းရောင်ပုစွန် (အခွံကြမ်း)</t>
  </si>
  <si>
    <t>ပန်းရောင်ပုစွန် (အဝါ)</t>
  </si>
  <si>
    <t>ငါးတံခွန်</t>
  </si>
  <si>
    <t>ငါးလိပ်ကျောက်</t>
  </si>
  <si>
    <t>ရေဘဝဲ</t>
  </si>
  <si>
    <t>ကက္ကူရံ</t>
  </si>
  <si>
    <t>ငါးပါးနီ</t>
  </si>
  <si>
    <t>ကြိုးဝါ/မြီးနီ/မြီးလုံး/မြီးဝါ</t>
  </si>
  <si>
    <t>လိုင်းဝါ</t>
  </si>
  <si>
    <t>သင်ဝါ/ဝိုင်းစိမ်း</t>
  </si>
  <si>
    <t>ငါးပုတ်သင်</t>
  </si>
  <si>
    <t>ငါးရွှေ</t>
  </si>
  <si>
    <t>ငါးပြား</t>
  </si>
  <si>
    <t>ဇာကြမ်း</t>
  </si>
  <si>
    <t>နတ်ကတော်</t>
  </si>
  <si>
    <t>ငါးကျီးကန်း</t>
  </si>
  <si>
    <t>ငါးဂုံးကြား</t>
  </si>
  <si>
    <t>ငါးဒါးလွယ်</t>
  </si>
  <si>
    <t>ငါးကျံရွက်/ မြီးတန်သွယ်</t>
  </si>
  <si>
    <t>ငါးရောင်</t>
  </si>
  <si>
    <t>ငါးရွေး</t>
  </si>
  <si>
    <t>ကုလားကုတ်</t>
  </si>
  <si>
    <t>ကုလားငူ</t>
  </si>
  <si>
    <t>ကျောက်ငါး</t>
  </si>
  <si>
    <t>ငါးဒါးပြီး / ငါးဓါးမ</t>
  </si>
  <si>
    <t>ငါးခေါင်းပွ</t>
  </si>
  <si>
    <t>ငါးပုလွေ</t>
  </si>
  <si>
    <t>ငါးခွေးလျာ</t>
  </si>
  <si>
    <t>ငါးချဉ်ပေါင် / ပြည်သာ</t>
  </si>
  <si>
    <t>ငါးနီငယ်</t>
  </si>
  <si>
    <t>ရွှေငါး</t>
  </si>
  <si>
    <t>ပလာတူးခက်</t>
  </si>
  <si>
    <t>ပလာလမ်း</t>
  </si>
  <si>
    <t>ဘောင်းဂျေး</t>
  </si>
  <si>
    <t>ငါးနှပ်</t>
  </si>
  <si>
    <t>ဇာပျက်</t>
  </si>
  <si>
    <t>ဂေါ်ထိုးငါး (ပါကင်)</t>
  </si>
  <si>
    <t>ချိုသင်</t>
  </si>
  <si>
    <t>စလုံး</t>
  </si>
  <si>
    <t>ကျောက်ပူတင်း / ငါးစက္ကူ</t>
  </si>
  <si>
    <t>အုန်းငါးမုတ်</t>
  </si>
  <si>
    <t>ကျောက်ပုစွန်</t>
  </si>
  <si>
    <t>ကင်းပုစွန်</t>
  </si>
  <si>
    <t>ကြိမ်မွေ့တောင်း</t>
  </si>
  <si>
    <t>ငါးပူတင်း</t>
  </si>
  <si>
    <t>လိပ်စွန်/ လိပ်ကျောက်</t>
  </si>
  <si>
    <t>ကျောက်ဘီးဇင်း</t>
  </si>
  <si>
    <t>ကပျက်</t>
  </si>
  <si>
    <t>ဂျိုးညှင်း/ ပသွပ်</t>
  </si>
  <si>
    <t>ငါးထောပတ်/ ငါးဆီလုံး</t>
  </si>
  <si>
    <t>ငတီး</t>
  </si>
  <si>
    <t>ငါးရွှေကျင်</t>
  </si>
  <si>
    <t>ဇယော</t>
  </si>
  <si>
    <t>ငါးစုံ / ငါးကြင်း / ငါးကြွက် / ဇစ်ပို / ငါးဖောင်ရိုး/ငါးရံ့/ငါးရွက်တိုက်/ဆာတီး/ဂျပန်လုံး</t>
  </si>
  <si>
    <t>ဂုံးကြား</t>
  </si>
  <si>
    <t>တံခွန်</t>
  </si>
  <si>
    <t>ပြည်သာ</t>
  </si>
  <si>
    <t>ဇင်းလုံး</t>
  </si>
  <si>
    <t>ခေါင်းပွ</t>
  </si>
  <si>
    <t>ငါးပလွေ</t>
  </si>
  <si>
    <t>ငါးရွက်တိုက်</t>
  </si>
  <si>
    <t>တံခွန်ကြီးကျ</t>
  </si>
  <si>
    <t>ဂျပန်လုံး</t>
  </si>
  <si>
    <t xml:space="preserve">ငါးကြင်း </t>
  </si>
  <si>
    <t xml:space="preserve">ငါးကြွက် </t>
  </si>
  <si>
    <t>ငါးဇစ်ပို</t>
  </si>
  <si>
    <t>ဝိုင်းစိမ်း</t>
  </si>
  <si>
    <t>Att-3</t>
  </si>
  <si>
    <t>ကြိုးဝါ</t>
  </si>
  <si>
    <t>မြီးဝါ</t>
  </si>
  <si>
    <t>မြီးနီ</t>
  </si>
  <si>
    <t>Item Description</t>
  </si>
  <si>
    <t>မျက်ကျယ်ကြီး</t>
  </si>
  <si>
    <t>Unit Price</t>
  </si>
  <si>
    <t>ငါးဘဲ</t>
  </si>
  <si>
    <t>ဒိုးပေါက်</t>
  </si>
  <si>
    <t>ငါးမန်း</t>
  </si>
  <si>
    <t>ဓါးမသေး</t>
  </si>
  <si>
    <t>ဒါးလွယ်သေး</t>
  </si>
  <si>
    <t>မျက်ကျယ်သေး</t>
  </si>
  <si>
    <t>ငါးကြင်း</t>
  </si>
  <si>
    <t>ဒိုးကြီး</t>
  </si>
  <si>
    <t>ဒိုးလတ်</t>
  </si>
  <si>
    <t>ဓါးမကြီး</t>
  </si>
  <si>
    <t>ငှက်ပျောသီးချဥ်</t>
  </si>
  <si>
    <t>ငါးဖောင်ရိုးပြား</t>
  </si>
  <si>
    <t>တံခွန်200up</t>
  </si>
  <si>
    <t>တံခွန်သေးကျ</t>
  </si>
  <si>
    <t>ဒိုးသေး</t>
  </si>
  <si>
    <t>ပလာတူး120up</t>
  </si>
  <si>
    <t>ပလာတူး120ကျ</t>
  </si>
  <si>
    <t>ဘီးဇင်း15.24</t>
  </si>
  <si>
    <t>ဘီးဇင်း10.15</t>
  </si>
  <si>
    <t>ဘီးဇင်းကြီးကျ</t>
  </si>
  <si>
    <t>ဘီးဇင်းသေးကျ</t>
  </si>
  <si>
    <t>ဘီးဇင်းပေါက်</t>
  </si>
  <si>
    <t>ကင်းမွန်ကျ</t>
  </si>
  <si>
    <t>ငါးကြွက်</t>
  </si>
  <si>
    <t>ပြည်သာ1.3</t>
  </si>
  <si>
    <t>ငါးမဲလုံးဂျွန်သေး</t>
  </si>
  <si>
    <t>ကုလားငူ1kgကျ</t>
  </si>
  <si>
    <t>တံခွန်1.2</t>
  </si>
  <si>
    <t>ဒါးလွယ်ကြီး</t>
  </si>
  <si>
    <t>မြီးဝါလုံး</t>
  </si>
  <si>
    <t>မြီးဝါပြာ</t>
  </si>
  <si>
    <t>ငါးမဲလုံးကျ</t>
  </si>
  <si>
    <t>ငါးဖောင်ရိုးလုံး</t>
  </si>
  <si>
    <t>ငါးမဲလုံးဂျွန်</t>
  </si>
  <si>
    <t>ထောပတ်</t>
  </si>
  <si>
    <t>ငါးမဲလုံးသေးဂျွန်</t>
  </si>
  <si>
    <t>ငါးဖောင်ရိုးပေါက်</t>
  </si>
  <si>
    <t>ကုလားငူသေး</t>
  </si>
  <si>
    <t>ငှက်ပျောသီးချဉ်</t>
  </si>
  <si>
    <t>ဘုန်းကြီး</t>
  </si>
  <si>
    <t>ငါးမုတ်မဲ 8 UP</t>
  </si>
  <si>
    <t>ငါးရံ့ကြီး</t>
  </si>
  <si>
    <t>ငါးရံ့သေး</t>
  </si>
  <si>
    <t>တံခွန် 2001</t>
  </si>
  <si>
    <t>တံခွန် 1.2</t>
  </si>
  <si>
    <t>ဒါးမထိုးကြီး</t>
  </si>
  <si>
    <t>ပြည်သာ 2.3</t>
  </si>
  <si>
    <t>ပြည်သာ 1.2</t>
  </si>
  <si>
    <t>ပြည်သာ 3.5</t>
  </si>
  <si>
    <t>ပလာတူး 120UP</t>
  </si>
  <si>
    <t>ပလာတူး 120ကျ</t>
  </si>
  <si>
    <t>ဘီးဇင်း 24 UP</t>
  </si>
  <si>
    <t>ဘီးဇင်း 15.24</t>
  </si>
  <si>
    <t>ဘီးဇင်း 10.15</t>
  </si>
  <si>
    <t>ဘီးဇင်း ကြီးကျ</t>
  </si>
  <si>
    <t>ဘီးဇင်း သေးကျ</t>
  </si>
  <si>
    <t>ဘီးဇင်း ပေါက်</t>
  </si>
  <si>
    <t>မြီးဝါပြား</t>
  </si>
  <si>
    <t>ဝိုင်းစိမ်းသေး</t>
  </si>
  <si>
    <t>ဝိုင်းစိမ်းကြီး</t>
  </si>
  <si>
    <t>ကုလားငူသေး+1kgup</t>
  </si>
  <si>
    <t>ကုလားငူသေး1ကျ</t>
  </si>
  <si>
    <t>ကုလားငူ1up</t>
  </si>
  <si>
    <t>တံခွန်လတ်ကျ</t>
  </si>
  <si>
    <t>တံခွန်လတ်သေးကျ</t>
  </si>
  <si>
    <t>ပြည်သာ3.5</t>
  </si>
  <si>
    <t>ပြည်သာ2.3</t>
  </si>
  <si>
    <t>ပြည်သာ1.2</t>
  </si>
  <si>
    <t>ပြည်သာဂျွန်</t>
  </si>
  <si>
    <t>ဘီးဇင်း24up</t>
  </si>
  <si>
    <t>မြီးလုံးဝါ</t>
  </si>
  <si>
    <t>ငါးလက်ဝါးသေး</t>
  </si>
  <si>
    <t>ငါးလက်ဝါးပေါက်</t>
  </si>
  <si>
    <t>ကုလားငူ1ကျ</t>
  </si>
  <si>
    <t>ကုလားငူကြီး</t>
  </si>
  <si>
    <t>မျက်ကျယ်ဗိုက်ပေါက်</t>
  </si>
  <si>
    <t>ငါးဖောင်ရိုးလုံးသေး</t>
  </si>
  <si>
    <t>ငါးဖောင်ရိုးလုံးကြီး</t>
  </si>
  <si>
    <t>မျက်ကျယ်နီ</t>
  </si>
  <si>
    <t>802,972,650.00</t>
  </si>
  <si>
    <t>DocDescription</t>
  </si>
  <si>
    <t>စိုးစံအောင်-7</t>
  </si>
  <si>
    <t>စိုးစံအောင်-ရိုးရိုး</t>
  </si>
  <si>
    <t>စိုးပြည့်အောင်-7</t>
  </si>
  <si>
    <t>ရွှေနတ်သား</t>
  </si>
  <si>
    <t>ရွှေရည်-88</t>
  </si>
  <si>
    <t>အေးပြည့်အောင်-999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</si>
</sst>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#,##0.00;\-#,##0.00"/>
    <numFmt numFmtId="165" formatCode="#,##0.00;\(#,##0.00\)"/>
  </numFmts>
  <fonts count="6" x14ac:knownFonts="1">
    <font>
      <sz val="11"/>
      <name val="Calibri"/>
      <charset val="1"/>
    </font>
    <font>
      <sz val="11"/>
      <color theme="1"/>
      <name val="Calibri"/>
      <family val="2"/>
      <scheme val="minor"/>
    </font>
    <font>
      <sz val="9"/>
      <color rgb="FF000000"/>
      <name val="Segoe UI"/>
      <charset val="1"/>
    </font>
    <font>
      <sz val="10"/>
      <name val="Pyidaungsu"/>
      <family val="2"/>
    </font>
    <font>
      <sz val="11"/>
      <name val="Calibri"/>
      <family val="2"/>
    </font>
    <font>
      <sz val="9"/>
      <color rgb="FF484644"/>
      <name val="Segoe UI"/>
      <charset val="1"/>
    </font>
  </fonts>
  <fills count="6">
    <fill>
      <patternFill patternType="none"/>
    </fill>
    <fill>
      <patternFill patternType="gray125"/>
    </fill>
    <fill>
      <patternFill patternType="solid">
        <fgColor rgb="FFFFF4EC"/>
        <bgColor rgb="FFFFF4EC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0F0F0"/>
        <bgColor rgb="FFF0F0F0"/>
      </patternFill>
    </fill>
  </fills>
  <borders count="7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E1E1E1"/>
      </left>
      <right style="thin">
        <color rgb="FFE1E1E1"/>
      </right>
      <top style="thin">
        <color rgb="FFE1E1E1"/>
      </top>
      <bottom style="thin">
        <color rgb="FFE1E1E1"/>
      </bottom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36">
    <xf numFmtId="0" fontId="0" fillId="0" borderId="0" xfId="0"/>
    <xf numFmtId="0" fontId="3" fillId="0" borderId="4" xfId="1" applyFont="1" applyBorder="1" applyAlignment="1">
      <alignment horizontal="left"/>
    </xf>
    <xf numFmtId="0" fontId="3" fillId="0" borderId="0" xfId="1" applyFont="1" applyAlignment="1">
      <alignment horizontal="left"/>
    </xf>
    <xf numFmtId="0" fontId="3" fillId="0" borderId="4" xfId="1" applyFont="1" applyBorder="1" applyAlignment="1">
      <alignment horizontal="center"/>
    </xf>
    <xf numFmtId="0" fontId="3" fillId="0" borderId="4" xfId="1" applyFont="1" applyBorder="1"/>
    <xf numFmtId="43" fontId="3" fillId="0" borderId="4" xfId="2" applyFont="1" applyBorder="1"/>
    <xf numFmtId="43" fontId="3" fillId="0" borderId="0" xfId="2" applyFont="1" applyBorder="1"/>
    <xf numFmtId="0" fontId="3" fillId="0" borderId="0" xfId="1" applyFont="1"/>
    <xf numFmtId="0" fontId="3" fillId="4" borderId="4" xfId="1" applyFont="1" applyFill="1" applyBorder="1" applyAlignment="1">
      <alignment horizontal="center"/>
    </xf>
    <xf numFmtId="0" fontId="3" fillId="4" borderId="4" xfId="1" applyFont="1" applyFill="1" applyBorder="1"/>
    <xf numFmtId="0" fontId="3" fillId="4" borderId="0" xfId="1" applyFont="1" applyFill="1"/>
    <xf numFmtId="0" fontId="3" fillId="0" borderId="0" xfId="1" applyFont="1" applyAlignment="1">
      <alignment horizontal="center"/>
    </xf>
    <xf numFmtId="43" fontId="3" fillId="0" borderId="0" xfId="2" applyFont="1"/>
    <xf numFmtId="43" fontId="3" fillId="0" borderId="0" xfId="2" applyFont="1" applyFill="1"/>
    <xf numFmtId="0" fontId="3" fillId="0" borderId="4" xfId="1" applyFont="1" applyFill="1" applyBorder="1" applyAlignment="1">
      <alignment horizontal="center"/>
    </xf>
    <xf numFmtId="0" fontId="3" fillId="0" borderId="4" xfId="1" applyFont="1" applyFill="1" applyBorder="1"/>
    <xf numFmtId="0" fontId="3" fillId="0" borderId="0" xfId="1" applyFont="1" applyFill="1"/>
    <xf numFmtId="0" fontId="2" fillId="2" borderId="0" xfId="0" applyFont="1" applyFill="1" applyAlignment="1">
      <alignment horizontal="left" vertical="top" wrapText="1"/>
    </xf>
    <xf numFmtId="0" fontId="0" fillId="0" borderId="0" xfId="0" applyFill="1"/>
    <xf numFmtId="0" fontId="3" fillId="0" borderId="5" xfId="1" applyFont="1" applyBorder="1"/>
    <xf numFmtId="0" fontId="0" fillId="0" borderId="0" xfId="0" applyBorder="1"/>
    <xf numFmtId="0" fontId="3" fillId="0" borderId="0" xfId="1" applyFont="1" applyBorder="1"/>
    <xf numFmtId="0" fontId="5" fillId="3" borderId="1" xfId="0" applyFont="1" applyFill="1" applyBorder="1" applyAlignment="1">
      <alignment horizontal="center" vertical="top" wrapText="1"/>
    </xf>
    <xf numFmtId="164" fontId="5" fillId="5" borderId="1" xfId="0" applyNumberFormat="1" applyFont="1" applyFill="1" applyBorder="1" applyAlignment="1">
      <alignment horizontal="right" vertical="top" wrapText="1"/>
    </xf>
    <xf numFmtId="165" fontId="5" fillId="5" borderId="1" xfId="0" applyNumberFormat="1" applyFont="1" applyFill="1" applyBorder="1" applyAlignment="1">
      <alignment horizontal="right" vertical="top" wrapText="1"/>
    </xf>
    <xf numFmtId="0" fontId="5" fillId="5" borderId="1" xfId="0" applyFont="1" applyFill="1" applyBorder="1" applyAlignment="1">
      <alignment horizontal="left" vertical="top" wrapText="1"/>
    </xf>
    <xf numFmtId="164" fontId="5" fillId="3" borderId="1" xfId="0" applyNumberFormat="1" applyFont="1" applyFill="1" applyBorder="1" applyAlignment="1">
      <alignment horizontal="right" vertical="top" wrapText="1"/>
    </xf>
    <xf numFmtId="165" fontId="5" fillId="3" borderId="1" xfId="0" applyNumberFormat="1" applyFont="1" applyFill="1" applyBorder="1" applyAlignment="1">
      <alignment horizontal="right" vertical="top" wrapText="1"/>
    </xf>
    <xf numFmtId="0" fontId="5" fillId="3" borderId="1" xfId="0" applyFont="1" applyFill="1" applyBorder="1" applyAlignment="1">
      <alignment horizontal="left" vertical="top" wrapText="1"/>
    </xf>
    <xf numFmtId="0" fontId="5" fillId="3" borderId="2" xfId="0" applyFont="1" applyFill="1" applyBorder="1" applyAlignment="1">
      <alignment horizontal="left" vertical="top" wrapText="1"/>
    </xf>
    <xf numFmtId="0" fontId="5" fillId="3" borderId="6" xfId="0" applyFont="1" applyFill="1" applyBorder="1" applyAlignment="1">
      <alignment horizontal="right" vertical="top" wrapText="1"/>
    </xf>
    <xf numFmtId="0" fontId="5" fillId="3" borderId="3" xfId="0" applyFont="1" applyFill="1" applyBorder="1" applyAlignment="1">
      <alignment horizontal="left" vertical="top" wrapText="1"/>
    </xf>
    <xf numFmtId="0" fontId="5" fillId="3" borderId="0" xfId="0" applyFont="1" applyFill="1" applyAlignment="1">
      <alignment horizontal="left" vertical="top" wrapText="1"/>
    </xf>
    <xf numFmtId="164" fontId="5" fillId="3" borderId="2" xfId="0" applyNumberFormat="1" applyFont="1" applyFill="1" applyBorder="1" applyAlignment="1">
      <alignment horizontal="left" vertical="top" wrapText="1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 2" xfId="2" xr:uid="{7C90023C-8CCC-43A7-BC56-9FDC5EA30691}"/>
    <cellStyle name="Normal" xfId="0" builtinId="0"/>
    <cellStyle name="Normal 2" xfId="1" xr:uid="{4B361A33-075D-404A-A7DB-485BFD3C53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919012</xdr:colOff>
      <xdr:row>2</xdr:row>
      <xdr:rowOff>30480</xdr:rowOff>
    </xdr:from>
    <xdr:to>
      <xdr:col>9</xdr:col>
      <xdr:colOff>883920</xdr:colOff>
      <xdr:row>6</xdr:row>
      <xdr:rowOff>38100</xdr:rowOff>
    </xdr:to>
    <xdr:sp macro="[0]!ReplaceItemNames_ExactMatch" textlink="">
      <xdr:nvSpPr>
        <xdr:cNvPr id="3" name="Oval 2">
          <a:extLst>
            <a:ext uri="{FF2B5EF4-FFF2-40B4-BE49-F238E27FC236}">
              <a16:creationId xmlns:a16="http://schemas.microsoft.com/office/drawing/2014/main" id="{CFD04499-A18F-476C-BBB4-970BD32352D6}"/>
            </a:ext>
          </a:extLst>
        </xdr:cNvPr>
        <xdr:cNvSpPr/>
      </xdr:nvSpPr>
      <xdr:spPr>
        <a:xfrm>
          <a:off x="12074692" y="426720"/>
          <a:ext cx="1298408" cy="8001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Bahnschrift" panose="020B0502040204020203" pitchFamily="34" charset="0"/>
            </a:rPr>
            <a:t>Update Item Names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61219-590E-48A3-AA47-5C8C765C0F41}">
  <sheetPr codeName="Sheet1"/>
  <dimension ref="A1:K85"/>
  <sheetViews>
    <sheetView showGridLines="0" tabSelected="1" zoomScale="70" zoomScaleNormal="70" workbookViewId="0">
      <pane xSplit="2" ySplit="1" topLeftCell="C57" activePane="bottomRight" state="frozen"/>
      <selection pane="topRight" activeCell="C1" sqref="C1"/>
      <selection pane="bottomLeft" activeCell="A3" sqref="A3"/>
      <selection pane="bottomRight" activeCell="P69" sqref="P69"/>
    </sheetView>
  </sheetViews>
  <sheetFormatPr defaultColWidth="8.77734375" defaultRowHeight="19.8" x14ac:dyDescent="0.7"/>
  <cols>
    <col min="1" max="1" width="8.77734375" style="11"/>
    <col min="2" max="2" width="64.6640625" style="7" customWidth="1"/>
    <col min="3" max="8" width="16.77734375" style="13" customWidth="1"/>
    <col min="9" max="10" width="8.77734375" style="7"/>
    <col min="11" max="11" width="11.21875" style="7" customWidth="1"/>
    <col min="12" max="16384" width="8.77734375" style="7"/>
  </cols>
  <sheetData>
    <row r="1" spans="1:11" s="2" customFormat="1" x14ac:dyDescent="0.7">
      <c r="A1" s="1"/>
      <c r="B1" s="1" t="s">
        <v>0</v>
      </c>
      <c r="C1" s="17" t="s">
        <v>192</v>
      </c>
      <c r="D1" s="17" t="s">
        <v>193</v>
      </c>
      <c r="E1" s="17" t="s">
        <v>194</v>
      </c>
      <c r="F1" s="17" t="s">
        <v>195</v>
      </c>
      <c r="G1" s="17" t="s">
        <v>196</v>
      </c>
      <c r="H1" s="17" t="s">
        <v>197</v>
      </c>
    </row>
    <row r="2" spans="1:11" x14ac:dyDescent="0.7">
      <c r="A2" s="3">
        <v>1</v>
      </c>
      <c r="B2" s="4" t="s">
        <v>26</v>
      </c>
      <c r="C2" s="5">
        <f>SUMIFS(raw!$C:$C,raw!$A:$A,$B2,raw!$F:$F,"*"&amp;C$1)</f>
        <v>0</v>
      </c>
      <c r="D2" s="5">
        <f>SUMIFS(raw!$C:$C,raw!$A:$A,$B2,raw!$F:$F,"*"&amp;D$1)</f>
        <v>0</v>
      </c>
      <c r="E2" s="5">
        <f>SUMIFS(raw!$C:$C,raw!$A:$A,$B2,raw!$F:$F,"*"&amp;E$1)</f>
        <v>0</v>
      </c>
      <c r="F2" s="5">
        <f>SUMIFS(raw!$C:$C,raw!$A:$A,$B2,raw!$F:$F,"*"&amp;F$1)</f>
        <v>0</v>
      </c>
      <c r="G2" s="5">
        <f>SUMIFS(raw!$C:$C,raw!$A:$A,$B2,raw!$F:$F,"*"&amp;G$1)</f>
        <v>0</v>
      </c>
      <c r="H2" s="5">
        <f>SUMIFS(raw!$C:$C,raw!$A:$A,$B2,raw!$F:$F,"*"&amp;H$1)</f>
        <v>0</v>
      </c>
      <c r="K2" s="6">
        <f>SUM(C2:H2)</f>
        <v>0</v>
      </c>
    </row>
    <row r="3" spans="1:11" x14ac:dyDescent="0.7">
      <c r="A3" s="3">
        <v>2</v>
      </c>
      <c r="B3" s="4" t="s">
        <v>23</v>
      </c>
      <c r="C3" s="5">
        <f>SUMIFS(raw!$C:$C,raw!$A:$A,$B3,raw!$F:$F,"*"&amp;C$1)</f>
        <v>0</v>
      </c>
      <c r="D3" s="5">
        <f>SUMIFS(raw!$C:$C,raw!$A:$A,$B3,raw!$F:$F,"*"&amp;D$1)</f>
        <v>0</v>
      </c>
      <c r="E3" s="5">
        <f>SUMIFS(raw!$C:$C,raw!$A:$A,$B3,raw!$F:$F,"*"&amp;E$1)</f>
        <v>0</v>
      </c>
      <c r="F3" s="5">
        <f>SUMIFS(raw!$C:$C,raw!$A:$A,$B3,raw!$F:$F,"*"&amp;F$1)</f>
        <v>0</v>
      </c>
      <c r="G3" s="5">
        <f>SUMIFS(raw!$C:$C,raw!$A:$A,$B3,raw!$F:$F,"*"&amp;G$1)</f>
        <v>0</v>
      </c>
      <c r="H3" s="5">
        <f>SUMIFS(raw!$C:$C,raw!$A:$A,$B3,raw!$F:$F,"*"&amp;H$1)</f>
        <v>0</v>
      </c>
      <c r="K3" s="6">
        <f>SUM(C3:H3)</f>
        <v>0</v>
      </c>
    </row>
    <row r="4" spans="1:11" x14ac:dyDescent="0.7">
      <c r="A4" s="3">
        <v>3</v>
      </c>
      <c r="B4" s="4" t="s">
        <v>27</v>
      </c>
      <c r="C4" s="5">
        <f>SUMIFS(raw!$C:$C,raw!$A:$A,$B4,raw!$F:$F,"*"&amp;C$1)</f>
        <v>0</v>
      </c>
      <c r="D4" s="5">
        <f>SUMIFS(raw!$C:$C,raw!$A:$A,$B4,raw!$F:$F,"*"&amp;D$1)</f>
        <v>0</v>
      </c>
      <c r="E4" s="5">
        <f>SUMIFS(raw!$C:$C,raw!$A:$A,$B4,raw!$F:$F,"*"&amp;E$1)</f>
        <v>0</v>
      </c>
      <c r="F4" s="5">
        <f>SUMIFS(raw!$C:$C,raw!$A:$A,$B4,raw!$F:$F,"*"&amp;F$1)</f>
        <v>0</v>
      </c>
      <c r="G4" s="5">
        <f>SUMIFS(raw!$C:$C,raw!$A:$A,$B4,raw!$F:$F,"*"&amp;G$1)</f>
        <v>0</v>
      </c>
      <c r="H4" s="5">
        <f>SUMIFS(raw!$C:$C,raw!$A:$A,$B4,raw!$F:$F,"*"&amp;H$1)</f>
        <v>0</v>
      </c>
      <c r="K4" s="6">
        <f>SUM(C4:H4)</f>
        <v>0</v>
      </c>
    </row>
    <row r="5" spans="1:11" x14ac:dyDescent="0.7">
      <c r="A5" s="3">
        <v>4</v>
      </c>
      <c r="B5" s="4" t="s">
        <v>28</v>
      </c>
      <c r="C5" s="5">
        <f>SUMIFS(raw!$C:$C,raw!$A:$A,$B5,raw!$F:$F,"*"&amp;C$1)</f>
        <v>0</v>
      </c>
      <c r="D5" s="5">
        <f>SUMIFS(raw!$C:$C,raw!$A:$A,$B5,raw!$F:$F,"*"&amp;D$1)</f>
        <v>0</v>
      </c>
      <c r="E5" s="5">
        <f>SUMIFS(raw!$C:$C,raw!$A:$A,$B5,raw!$F:$F,"*"&amp;E$1)</f>
        <v>0</v>
      </c>
      <c r="F5" s="5">
        <f>SUMIFS(raw!$C:$C,raw!$A:$A,$B5,raw!$F:$F,"*"&amp;F$1)</f>
        <v>0</v>
      </c>
      <c r="G5" s="5">
        <f>SUMIFS(raw!$C:$C,raw!$A:$A,$B5,raw!$F:$F,"*"&amp;G$1)</f>
        <v>0</v>
      </c>
      <c r="H5" s="5">
        <f>SUMIFS(raw!$C:$C,raw!$A:$A,$B5,raw!$F:$F,"*"&amp;H$1)</f>
        <v>0</v>
      </c>
      <c r="K5" s="6">
        <f>SUM(C5:H5)</f>
        <v>0</v>
      </c>
    </row>
    <row r="6" spans="1:11" x14ac:dyDescent="0.7">
      <c r="A6" s="3">
        <v>5</v>
      </c>
      <c r="B6" s="4" t="s">
        <v>29</v>
      </c>
      <c r="C6" s="5">
        <f>SUMIFS(raw!$C:$C,raw!$A:$A,$B6,raw!$F:$F,"*"&amp;C$1)</f>
        <v>0</v>
      </c>
      <c r="D6" s="5">
        <f>SUMIFS(raw!$C:$C,raw!$A:$A,$B6,raw!$F:$F,"*"&amp;D$1)</f>
        <v>0</v>
      </c>
      <c r="E6" s="5">
        <f>SUMIFS(raw!$C:$C,raw!$A:$A,$B6,raw!$F:$F,"*"&amp;E$1)</f>
        <v>0</v>
      </c>
      <c r="F6" s="5">
        <f>SUMIFS(raw!$C:$C,raw!$A:$A,$B6,raw!$F:$F,"*"&amp;F$1)</f>
        <v>0</v>
      </c>
      <c r="G6" s="5">
        <f>SUMIFS(raw!$C:$C,raw!$A:$A,$B6,raw!$F:$F,"*"&amp;G$1)</f>
        <v>0</v>
      </c>
      <c r="H6" s="5">
        <f>SUMIFS(raw!$C:$C,raw!$A:$A,$B6,raw!$F:$F,"*"&amp;H$1)</f>
        <v>0</v>
      </c>
      <c r="K6" s="6">
        <f>SUM(C6:H6)</f>
        <v>0</v>
      </c>
    </row>
    <row r="7" spans="1:11" x14ac:dyDescent="0.7">
      <c r="A7" s="3">
        <v>6</v>
      </c>
      <c r="B7" s="4" t="s">
        <v>30</v>
      </c>
      <c r="C7" s="5">
        <f>SUMIFS(raw!$C:$C,raw!$A:$A,$B7,raw!$F:$F,"*"&amp;C$1)</f>
        <v>0</v>
      </c>
      <c r="D7" s="5">
        <f>SUMIFS(raw!$C:$C,raw!$A:$A,$B7,raw!$F:$F,"*"&amp;D$1)</f>
        <v>0</v>
      </c>
      <c r="E7" s="5">
        <f>SUMIFS(raw!$C:$C,raw!$A:$A,$B7,raw!$F:$F,"*"&amp;E$1)</f>
        <v>0</v>
      </c>
      <c r="F7" s="5">
        <f>SUMIFS(raw!$C:$C,raw!$A:$A,$B7,raw!$F:$F,"*"&amp;F$1)</f>
        <v>0</v>
      </c>
      <c r="G7" s="5">
        <f>SUMIFS(raw!$C:$C,raw!$A:$A,$B7,raw!$F:$F,"*"&amp;G$1)</f>
        <v>0</v>
      </c>
      <c r="H7" s="5">
        <f>SUMIFS(raw!$C:$C,raw!$A:$A,$B7,raw!$F:$F,"*"&amp;H$1)</f>
        <v>0</v>
      </c>
      <c r="K7" s="6">
        <f>SUM(C7:H7)</f>
        <v>0</v>
      </c>
    </row>
    <row r="8" spans="1:11" x14ac:dyDescent="0.7">
      <c r="A8" s="3">
        <v>7</v>
      </c>
      <c r="B8" s="4" t="s">
        <v>31</v>
      </c>
      <c r="C8" s="5">
        <f>SUMIFS(raw!$C:$C,raw!$A:$A,$B8,raw!$F:$F,"*"&amp;C$1)</f>
        <v>25</v>
      </c>
      <c r="D8" s="5">
        <f>SUMIFS(raw!$C:$C,raw!$A:$A,$B8,raw!$F:$F,"*"&amp;D$1)</f>
        <v>97</v>
      </c>
      <c r="E8" s="5">
        <f>SUMIFS(raw!$C:$C,raw!$A:$A,$B8,raw!$F:$F,"*"&amp;E$1)</f>
        <v>44.5</v>
      </c>
      <c r="F8" s="5">
        <f>SUMIFS(raw!$C:$C,raw!$A:$A,$B8,raw!$F:$F,"*"&amp;F$1)</f>
        <v>33</v>
      </c>
      <c r="G8" s="5">
        <f>SUMIFS(raw!$C:$C,raw!$A:$A,$B8,raw!$F:$F,"*"&amp;G$1)</f>
        <v>31.5</v>
      </c>
      <c r="H8" s="5">
        <f>SUMIFS(raw!$C:$C,raw!$A:$A,$B8,raw!$F:$F,"*"&amp;H$1)</f>
        <v>50.5</v>
      </c>
      <c r="K8" s="6">
        <f>SUM(C8:H8)</f>
        <v>281.5</v>
      </c>
    </row>
    <row r="9" spans="1:11" x14ac:dyDescent="0.7">
      <c r="A9" s="3">
        <v>8</v>
      </c>
      <c r="B9" s="4" t="s">
        <v>32</v>
      </c>
      <c r="C9" s="5">
        <f>SUMIFS(raw!$C:$C,raw!$A:$A,$B9,raw!$F:$F,"*"&amp;C$1)</f>
        <v>0</v>
      </c>
      <c r="D9" s="5">
        <f>SUMIFS(raw!$C:$C,raw!$A:$A,$B9,raw!$F:$F,"*"&amp;D$1)</f>
        <v>0</v>
      </c>
      <c r="E9" s="5">
        <f>SUMIFS(raw!$C:$C,raw!$A:$A,$B9,raw!$F:$F,"*"&amp;E$1)</f>
        <v>0</v>
      </c>
      <c r="F9" s="5">
        <f>SUMIFS(raw!$C:$C,raw!$A:$A,$B9,raw!$F:$F,"*"&amp;F$1)</f>
        <v>0</v>
      </c>
      <c r="G9" s="5">
        <f>SUMIFS(raw!$C:$C,raw!$A:$A,$B9,raw!$F:$F,"*"&amp;G$1)</f>
        <v>0</v>
      </c>
      <c r="H9" s="5">
        <f>SUMIFS(raw!$C:$C,raw!$A:$A,$B9,raw!$F:$F,"*"&amp;H$1)</f>
        <v>0</v>
      </c>
      <c r="K9" s="6">
        <f>SUM(C9:H9)</f>
        <v>0</v>
      </c>
    </row>
    <row r="10" spans="1:11" x14ac:dyDescent="0.7">
      <c r="A10" s="3">
        <v>9</v>
      </c>
      <c r="B10" s="4" t="s">
        <v>33</v>
      </c>
      <c r="C10" s="5">
        <f>SUMIFS(raw!$C:$C,raw!$A:$A,$B10,raw!$F:$F,"*"&amp;C$1)</f>
        <v>0</v>
      </c>
      <c r="D10" s="5">
        <f>SUMIFS(raw!$C:$C,raw!$A:$A,$B10,raw!$F:$F,"*"&amp;D$1)</f>
        <v>0</v>
      </c>
      <c r="E10" s="5">
        <f>SUMIFS(raw!$C:$C,raw!$A:$A,$B10,raw!$F:$F,"*"&amp;E$1)</f>
        <v>0</v>
      </c>
      <c r="F10" s="5">
        <f>SUMIFS(raw!$C:$C,raw!$A:$A,$B10,raw!$F:$F,"*"&amp;F$1)</f>
        <v>0</v>
      </c>
      <c r="G10" s="5">
        <f>SUMIFS(raw!$C:$C,raw!$A:$A,$B10,raw!$F:$F,"*"&amp;G$1)</f>
        <v>0</v>
      </c>
      <c r="H10" s="5">
        <f>SUMIFS(raw!$C:$C,raw!$A:$A,$B10,raw!$F:$F,"*"&amp;H$1)</f>
        <v>0</v>
      </c>
      <c r="K10" s="6">
        <f>SUM(C10:H10)</f>
        <v>0</v>
      </c>
    </row>
    <row r="11" spans="1:11" x14ac:dyDescent="0.7">
      <c r="A11" s="3">
        <v>10</v>
      </c>
      <c r="B11" s="4" t="s">
        <v>34</v>
      </c>
      <c r="C11" s="5">
        <f>SUMIFS(raw!$C:$C,raw!$A:$A,$B11,raw!$F:$F,"*"&amp;C$1)</f>
        <v>0</v>
      </c>
      <c r="D11" s="5">
        <f>SUMIFS(raw!$C:$C,raw!$A:$A,$B11,raw!$F:$F,"*"&amp;D$1)</f>
        <v>0</v>
      </c>
      <c r="E11" s="5">
        <f>SUMIFS(raw!$C:$C,raw!$A:$A,$B11,raw!$F:$F,"*"&amp;E$1)</f>
        <v>0</v>
      </c>
      <c r="F11" s="5">
        <f>SUMIFS(raw!$C:$C,raw!$A:$A,$B11,raw!$F:$F,"*"&amp;F$1)</f>
        <v>0</v>
      </c>
      <c r="G11" s="5">
        <f>SUMIFS(raw!$C:$C,raw!$A:$A,$B11,raw!$F:$F,"*"&amp;G$1)</f>
        <v>0</v>
      </c>
      <c r="H11" s="5">
        <f>SUMIFS(raw!$C:$C,raw!$A:$A,$B11,raw!$F:$F,"*"&amp;H$1)</f>
        <v>0</v>
      </c>
      <c r="K11" s="6">
        <f>SUM(C11:H11)</f>
        <v>0</v>
      </c>
    </row>
    <row r="12" spans="1:11" x14ac:dyDescent="0.7">
      <c r="A12" s="3">
        <v>11</v>
      </c>
      <c r="B12" s="4" t="s">
        <v>35</v>
      </c>
      <c r="C12" s="5">
        <f>SUMIFS(raw!$C:$C,raw!$A:$A,$B12,raw!$F:$F,"*"&amp;C$1)</f>
        <v>0</v>
      </c>
      <c r="D12" s="5">
        <f>SUMIFS(raw!$C:$C,raw!$A:$A,$B12,raw!$F:$F,"*"&amp;D$1)</f>
        <v>0</v>
      </c>
      <c r="E12" s="5">
        <f>SUMIFS(raw!$C:$C,raw!$A:$A,$B12,raw!$F:$F,"*"&amp;E$1)</f>
        <v>0</v>
      </c>
      <c r="F12" s="5">
        <f>SUMIFS(raw!$C:$C,raw!$A:$A,$B12,raw!$F:$F,"*"&amp;F$1)</f>
        <v>0</v>
      </c>
      <c r="G12" s="5">
        <f>SUMIFS(raw!$C:$C,raw!$A:$A,$B12,raw!$F:$F,"*"&amp;G$1)</f>
        <v>0</v>
      </c>
      <c r="H12" s="5">
        <f>SUMIFS(raw!$C:$C,raw!$A:$A,$B12,raw!$F:$F,"*"&amp;H$1)</f>
        <v>0</v>
      </c>
      <c r="K12" s="6">
        <f>SUM(C12:H12)</f>
        <v>0</v>
      </c>
    </row>
    <row r="13" spans="1:11" x14ac:dyDescent="0.7">
      <c r="A13" s="3">
        <v>12</v>
      </c>
      <c r="B13" s="4" t="s">
        <v>36</v>
      </c>
      <c r="C13" s="5">
        <f>SUMIFS(raw!$C:$C,raw!$A:$A,$B13,raw!$F:$F,"*"&amp;C$1)</f>
        <v>0</v>
      </c>
      <c r="D13" s="5">
        <f>SUMIFS(raw!$C:$C,raw!$A:$A,$B13,raw!$F:$F,"*"&amp;D$1)</f>
        <v>0</v>
      </c>
      <c r="E13" s="5">
        <f>SUMIFS(raw!$C:$C,raw!$A:$A,$B13,raw!$F:$F,"*"&amp;E$1)</f>
        <v>0</v>
      </c>
      <c r="F13" s="5">
        <f>SUMIFS(raw!$C:$C,raw!$A:$A,$B13,raw!$F:$F,"*"&amp;F$1)</f>
        <v>0</v>
      </c>
      <c r="G13" s="5">
        <f>SUMIFS(raw!$C:$C,raw!$A:$A,$B13,raw!$F:$F,"*"&amp;G$1)</f>
        <v>0</v>
      </c>
      <c r="H13" s="5">
        <f>SUMIFS(raw!$C:$C,raw!$A:$A,$B13,raw!$F:$F,"*"&amp;H$1)</f>
        <v>0</v>
      </c>
      <c r="K13" s="6">
        <f>SUM(C13:H13)</f>
        <v>0</v>
      </c>
    </row>
    <row r="14" spans="1:11" x14ac:dyDescent="0.7">
      <c r="A14" s="3">
        <v>13</v>
      </c>
      <c r="B14" s="4" t="s">
        <v>37</v>
      </c>
      <c r="C14" s="5">
        <f>SUMIFS(raw!$C:$C,raw!$A:$A,$B14,raw!$F:$F,"*"&amp;C$1)</f>
        <v>0</v>
      </c>
      <c r="D14" s="5">
        <f>SUMIFS(raw!$C:$C,raw!$A:$A,$B14,raw!$F:$F,"*"&amp;D$1)</f>
        <v>0</v>
      </c>
      <c r="E14" s="5">
        <f>SUMIFS(raw!$C:$C,raw!$A:$A,$B14,raw!$F:$F,"*"&amp;E$1)</f>
        <v>0</v>
      </c>
      <c r="F14" s="5">
        <f>SUMIFS(raw!$C:$C,raw!$A:$A,$B14,raw!$F:$F,"*"&amp;F$1)</f>
        <v>0</v>
      </c>
      <c r="G14" s="5">
        <f>SUMIFS(raw!$C:$C,raw!$A:$A,$B14,raw!$F:$F,"*"&amp;G$1)</f>
        <v>0</v>
      </c>
      <c r="H14" s="5">
        <f>SUMIFS(raw!$C:$C,raw!$A:$A,$B14,raw!$F:$F,"*"&amp;H$1)</f>
        <v>0</v>
      </c>
      <c r="K14" s="6">
        <f>SUM(C14:H14)</f>
        <v>0</v>
      </c>
    </row>
    <row r="15" spans="1:11" x14ac:dyDescent="0.7">
      <c r="A15" s="3">
        <v>14</v>
      </c>
      <c r="B15" s="4" t="s">
        <v>38</v>
      </c>
      <c r="C15" s="5">
        <f>SUMIFS(raw!$C:$C,raw!$A:$A,$B15,raw!$F:$F,"*"&amp;C$1)</f>
        <v>0</v>
      </c>
      <c r="D15" s="5">
        <f>SUMIFS(raw!$C:$C,raw!$A:$A,$B15,raw!$F:$F,"*"&amp;D$1)</f>
        <v>0</v>
      </c>
      <c r="E15" s="5">
        <f>SUMIFS(raw!$C:$C,raw!$A:$A,$B15,raw!$F:$F,"*"&amp;E$1)</f>
        <v>0</v>
      </c>
      <c r="F15" s="5">
        <f>SUMIFS(raw!$C:$C,raw!$A:$A,$B15,raw!$F:$F,"*"&amp;F$1)</f>
        <v>0</v>
      </c>
      <c r="G15" s="5">
        <f>SUMIFS(raw!$C:$C,raw!$A:$A,$B15,raw!$F:$F,"*"&amp;G$1)</f>
        <v>0</v>
      </c>
      <c r="H15" s="5">
        <f>SUMIFS(raw!$C:$C,raw!$A:$A,$B15,raw!$F:$F,"*"&amp;H$1)</f>
        <v>0</v>
      </c>
      <c r="K15" s="6">
        <f>SUM(C15:H15)</f>
        <v>0</v>
      </c>
    </row>
    <row r="16" spans="1:11" x14ac:dyDescent="0.7">
      <c r="A16" s="3">
        <v>15</v>
      </c>
      <c r="B16" s="4" t="s">
        <v>39</v>
      </c>
      <c r="C16" s="5">
        <f>SUMIFS(raw!$C:$C,raw!$A:$A,$B16,raw!$F:$F,"*"&amp;C$1)</f>
        <v>32.5</v>
      </c>
      <c r="D16" s="5">
        <f>SUMIFS(raw!$C:$C,raw!$A:$A,$B16,raw!$F:$F,"*"&amp;D$1)</f>
        <v>15.5</v>
      </c>
      <c r="E16" s="5">
        <f>SUMIFS(raw!$C:$C,raw!$A:$A,$B16,raw!$F:$F,"*"&amp;E$1)</f>
        <v>0.5</v>
      </c>
      <c r="F16" s="5">
        <f>SUMIFS(raw!$C:$C,raw!$A:$A,$B16,raw!$F:$F,"*"&amp;F$1)</f>
        <v>140.5</v>
      </c>
      <c r="G16" s="5">
        <f>SUMIFS(raw!$C:$C,raw!$A:$A,$B16,raw!$F:$F,"*"&amp;G$1)</f>
        <v>38</v>
      </c>
      <c r="H16" s="5">
        <f>SUMIFS(raw!$C:$C,raw!$A:$A,$B16,raw!$F:$F,"*"&amp;H$1)</f>
        <v>8.5</v>
      </c>
      <c r="K16" s="6">
        <f>SUM(C16:H16)</f>
        <v>235.5</v>
      </c>
    </row>
    <row r="17" spans="1:11" x14ac:dyDescent="0.7">
      <c r="A17" s="3">
        <v>16</v>
      </c>
      <c r="B17" s="4" t="s">
        <v>18</v>
      </c>
      <c r="C17" s="5">
        <f>SUMIFS(raw!$C:$C,raw!$A:$A,$B17,raw!$F:$F,"*"&amp;C$1)</f>
        <v>1</v>
      </c>
      <c r="D17" s="5">
        <f>SUMIFS(raw!$C:$C,raw!$A:$A,$B17,raw!$F:$F,"*"&amp;D$1)</f>
        <v>0</v>
      </c>
      <c r="E17" s="5">
        <f>SUMIFS(raw!$C:$C,raw!$A:$A,$B17,raw!$F:$F,"*"&amp;E$1)</f>
        <v>0</v>
      </c>
      <c r="F17" s="5">
        <f>SUMIFS(raw!$C:$C,raw!$A:$A,$B17,raw!$F:$F,"*"&amp;F$1)</f>
        <v>0</v>
      </c>
      <c r="G17" s="5">
        <f>SUMIFS(raw!$C:$C,raw!$A:$A,$B17,raw!$F:$F,"*"&amp;G$1)</f>
        <v>0</v>
      </c>
      <c r="H17" s="5">
        <f>SUMIFS(raw!$C:$C,raw!$A:$A,$B17,raw!$F:$F,"*"&amp;H$1)</f>
        <v>0</v>
      </c>
      <c r="K17" s="6">
        <f>SUM(C17:H17)</f>
        <v>1</v>
      </c>
    </row>
    <row r="18" spans="1:11" x14ac:dyDescent="0.7">
      <c r="A18" s="3">
        <v>17</v>
      </c>
      <c r="B18" s="4" t="s">
        <v>40</v>
      </c>
      <c r="C18" s="5">
        <f>SUMIFS(raw!$C:$C,raw!$A:$A,$B18,raw!$F:$F,"*"&amp;C$1)</f>
        <v>0</v>
      </c>
      <c r="D18" s="5">
        <f>SUMIFS(raw!$C:$C,raw!$A:$A,$B18,raw!$F:$F,"*"&amp;D$1)</f>
        <v>0</v>
      </c>
      <c r="E18" s="5">
        <f>SUMIFS(raw!$C:$C,raw!$A:$A,$B18,raw!$F:$F,"*"&amp;E$1)</f>
        <v>0</v>
      </c>
      <c r="F18" s="5">
        <f>SUMIFS(raw!$C:$C,raw!$A:$A,$B18,raw!$F:$F,"*"&amp;F$1)</f>
        <v>0</v>
      </c>
      <c r="G18" s="5">
        <f>SUMIFS(raw!$C:$C,raw!$A:$A,$B18,raw!$F:$F,"*"&amp;G$1)</f>
        <v>0</v>
      </c>
      <c r="H18" s="5">
        <f>SUMIFS(raw!$C:$C,raw!$A:$A,$B18,raw!$F:$F,"*"&amp;H$1)</f>
        <v>0</v>
      </c>
      <c r="K18" s="6">
        <f>SUM(C18:H18)</f>
        <v>0</v>
      </c>
    </row>
    <row r="19" spans="1:11" x14ac:dyDescent="0.7">
      <c r="A19" s="3">
        <v>18</v>
      </c>
      <c r="B19" s="4" t="s">
        <v>41</v>
      </c>
      <c r="C19" s="5">
        <f>SUMIFS(raw!$C:$C,raw!$A:$A,$B19,raw!$F:$F,"*"&amp;C$1)</f>
        <v>0</v>
      </c>
      <c r="D19" s="5">
        <f>SUMIFS(raw!$C:$C,raw!$A:$A,$B19,raw!$F:$F,"*"&amp;D$1)</f>
        <v>0</v>
      </c>
      <c r="E19" s="5">
        <f>SUMIFS(raw!$C:$C,raw!$A:$A,$B19,raw!$F:$F,"*"&amp;E$1)</f>
        <v>0</v>
      </c>
      <c r="F19" s="5">
        <f>SUMIFS(raw!$C:$C,raw!$A:$A,$B19,raw!$F:$F,"*"&amp;F$1)</f>
        <v>0</v>
      </c>
      <c r="G19" s="5">
        <f>SUMIFS(raw!$C:$C,raw!$A:$A,$B19,raw!$F:$F,"*"&amp;G$1)</f>
        <v>0</v>
      </c>
      <c r="H19" s="5">
        <f>SUMIFS(raw!$C:$C,raw!$A:$A,$B19,raw!$F:$F,"*"&amp;H$1)</f>
        <v>0</v>
      </c>
      <c r="K19" s="6">
        <f>SUM(C19:H19)</f>
        <v>0</v>
      </c>
    </row>
    <row r="20" spans="1:11" x14ac:dyDescent="0.7">
      <c r="A20" s="3">
        <v>19</v>
      </c>
      <c r="B20" s="4" t="s">
        <v>42</v>
      </c>
      <c r="C20" s="5">
        <f>SUMIFS(raw!$C:$C,raw!$A:$A,$B20,raw!$F:$F,"*"&amp;C$1)</f>
        <v>0</v>
      </c>
      <c r="D20" s="5">
        <f>SUMIFS(raw!$C:$C,raw!$A:$A,$B20,raw!$F:$F,"*"&amp;D$1)</f>
        <v>0</v>
      </c>
      <c r="E20" s="5">
        <f>SUMIFS(raw!$C:$C,raw!$A:$A,$B20,raw!$F:$F,"*"&amp;E$1)</f>
        <v>0</v>
      </c>
      <c r="F20" s="5">
        <f>SUMIFS(raw!$C:$C,raw!$A:$A,$B20,raw!$F:$F,"*"&amp;F$1)</f>
        <v>0</v>
      </c>
      <c r="G20" s="5">
        <f>SUMIFS(raw!$C:$C,raw!$A:$A,$B20,raw!$F:$F,"*"&amp;G$1)</f>
        <v>0</v>
      </c>
      <c r="H20" s="5">
        <f>SUMIFS(raw!$C:$C,raw!$A:$A,$B20,raw!$F:$F,"*"&amp;H$1)</f>
        <v>0</v>
      </c>
      <c r="K20" s="6">
        <f>SUM(C20:H20)</f>
        <v>0</v>
      </c>
    </row>
    <row r="21" spans="1:11" x14ac:dyDescent="0.7">
      <c r="A21" s="3">
        <v>20</v>
      </c>
      <c r="B21" s="4" t="s">
        <v>43</v>
      </c>
      <c r="C21" s="5">
        <f>SUMIFS(raw!$C:$C,raw!$A:$A,$B21,raw!$F:$F,"*"&amp;C$1)</f>
        <v>0</v>
      </c>
      <c r="D21" s="5">
        <f>SUMIFS(raw!$C:$C,raw!$A:$A,$B21,raw!$F:$F,"*"&amp;D$1)</f>
        <v>0</v>
      </c>
      <c r="E21" s="5">
        <f>SUMIFS(raw!$C:$C,raw!$A:$A,$B21,raw!$F:$F,"*"&amp;E$1)</f>
        <v>0</v>
      </c>
      <c r="F21" s="5">
        <f>SUMIFS(raw!$C:$C,raw!$A:$A,$B21,raw!$F:$F,"*"&amp;F$1)</f>
        <v>0</v>
      </c>
      <c r="G21" s="5">
        <f>SUMIFS(raw!$C:$C,raw!$A:$A,$B21,raw!$F:$F,"*"&amp;G$1)</f>
        <v>0</v>
      </c>
      <c r="H21" s="5">
        <f>SUMIFS(raw!$C:$C,raw!$A:$A,$B21,raw!$F:$F,"*"&amp;H$1)</f>
        <v>0</v>
      </c>
      <c r="K21" s="6">
        <f>SUM(C21:H21)</f>
        <v>0</v>
      </c>
    </row>
    <row r="22" spans="1:11" x14ac:dyDescent="0.7">
      <c r="A22" s="3">
        <v>21</v>
      </c>
      <c r="B22" s="4" t="s">
        <v>44</v>
      </c>
      <c r="C22" s="5">
        <f>SUMIFS(raw!$C:$C,raw!$A:$A,$B22,raw!$F:$F,"*"&amp;C$1)</f>
        <v>882</v>
      </c>
      <c r="D22" s="5">
        <f>SUMIFS(raw!$C:$C,raw!$A:$A,$B22,raw!$F:$F,"*"&amp;D$1)</f>
        <v>1389</v>
      </c>
      <c r="E22" s="5">
        <f>SUMIFS(raw!$C:$C,raw!$A:$A,$B22,raw!$F:$F,"*"&amp;E$1)</f>
        <v>496.5</v>
      </c>
      <c r="F22" s="5">
        <f>SUMIFS(raw!$C:$C,raw!$A:$A,$B22,raw!$F:$F,"*"&amp;F$1)</f>
        <v>114.5</v>
      </c>
      <c r="G22" s="5">
        <f>SUMIFS(raw!$C:$C,raw!$A:$A,$B22,raw!$F:$F,"*"&amp;G$1)</f>
        <v>504</v>
      </c>
      <c r="H22" s="5">
        <f>SUMIFS(raw!$C:$C,raw!$A:$A,$B22,raw!$F:$F,"*"&amp;H$1)</f>
        <v>315</v>
      </c>
      <c r="K22" s="6">
        <f>SUM(C22:H22)</f>
        <v>3701</v>
      </c>
    </row>
    <row r="23" spans="1:11" x14ac:dyDescent="0.7">
      <c r="A23" s="3">
        <v>22</v>
      </c>
      <c r="B23" s="4" t="s">
        <v>45</v>
      </c>
      <c r="C23" s="5">
        <f>SUMIFS(raw!$C:$C,raw!$A:$A,$B23,raw!$F:$F,"*"&amp;C$1)</f>
        <v>0</v>
      </c>
      <c r="D23" s="5">
        <f>SUMIFS(raw!$C:$C,raw!$A:$A,$B23,raw!$F:$F,"*"&amp;D$1)</f>
        <v>0</v>
      </c>
      <c r="E23" s="5">
        <f>SUMIFS(raw!$C:$C,raw!$A:$A,$B23,raw!$F:$F,"*"&amp;E$1)</f>
        <v>0</v>
      </c>
      <c r="F23" s="5">
        <f>SUMIFS(raw!$C:$C,raw!$A:$A,$B23,raw!$F:$F,"*"&amp;F$1)</f>
        <v>0</v>
      </c>
      <c r="G23" s="5">
        <f>SUMIFS(raw!$C:$C,raw!$A:$A,$B23,raw!$F:$F,"*"&amp;G$1)</f>
        <v>0</v>
      </c>
      <c r="H23" s="5">
        <f>SUMIFS(raw!$C:$C,raw!$A:$A,$B23,raw!$F:$F,"*"&amp;H$1)</f>
        <v>0</v>
      </c>
      <c r="K23" s="6">
        <f>SUM(C23:H23)</f>
        <v>0</v>
      </c>
    </row>
    <row r="24" spans="1:11" s="16" customFormat="1" x14ac:dyDescent="0.7">
      <c r="A24" s="14">
        <v>23</v>
      </c>
      <c r="B24" s="15" t="s">
        <v>16</v>
      </c>
      <c r="C24" s="5">
        <f>SUMIFS(raw!$C:$C,raw!$A:$A,$B24,raw!$F:$F,"*"&amp;C$1)</f>
        <v>17</v>
      </c>
      <c r="D24" s="5">
        <f>SUMIFS(raw!$C:$C,raw!$A:$A,$B24,raw!$F:$F,"*"&amp;D$1)</f>
        <v>19.5</v>
      </c>
      <c r="E24" s="5">
        <f>SUMIFS(raw!$C:$C,raw!$A:$A,$B24,raw!$F:$F,"*"&amp;E$1)</f>
        <v>21.5</v>
      </c>
      <c r="F24" s="5">
        <f>SUMIFS(raw!$C:$C,raw!$A:$A,$B24,raw!$F:$F,"*"&amp;F$1)</f>
        <v>0</v>
      </c>
      <c r="G24" s="5">
        <f>SUMIFS(raw!$C:$C,raw!$A:$A,$B24,raw!$F:$F,"*"&amp;G$1)</f>
        <v>30</v>
      </c>
      <c r="H24" s="5">
        <f>SUMIFS(raw!$C:$C,raw!$A:$A,$B24,raw!$F:$F,"*"&amp;H$1)</f>
        <v>66.5</v>
      </c>
      <c r="K24" s="6">
        <f>SUM(C24:H24)</f>
        <v>154.5</v>
      </c>
    </row>
    <row r="25" spans="1:11" x14ac:dyDescent="0.7">
      <c r="A25" s="3">
        <v>24</v>
      </c>
      <c r="B25" s="4" t="s">
        <v>46</v>
      </c>
      <c r="C25" s="5">
        <f>SUMIFS(raw!$C:$C,raw!$A:$A,$B25,raw!$F:$F,"*"&amp;C$1)</f>
        <v>2</v>
      </c>
      <c r="D25" s="5">
        <f>SUMIFS(raw!$C:$C,raw!$A:$A,$B25,raw!$F:$F,"*"&amp;D$1)</f>
        <v>22.5</v>
      </c>
      <c r="E25" s="5">
        <f>SUMIFS(raw!$C:$C,raw!$A:$A,$B25,raw!$F:$F,"*"&amp;E$1)</f>
        <v>2</v>
      </c>
      <c r="F25" s="5">
        <f>SUMIFS(raw!$C:$C,raw!$A:$A,$B25,raw!$F:$F,"*"&amp;F$1)</f>
        <v>0</v>
      </c>
      <c r="G25" s="5">
        <f>SUMIFS(raw!$C:$C,raw!$A:$A,$B25,raw!$F:$F,"*"&amp;G$1)</f>
        <v>0</v>
      </c>
      <c r="H25" s="5">
        <f>SUMIFS(raw!$C:$C,raw!$A:$A,$B25,raw!$F:$F,"*"&amp;H$1)</f>
        <v>1</v>
      </c>
      <c r="K25" s="6">
        <f>SUM(C25:H25)</f>
        <v>27.5</v>
      </c>
    </row>
    <row r="26" spans="1:11" x14ac:dyDescent="0.7">
      <c r="A26" s="3">
        <v>25</v>
      </c>
      <c r="B26" s="4" t="s">
        <v>47</v>
      </c>
      <c r="C26" s="5">
        <f>SUMIFS(raw!$C:$C,raw!$A:$A,$B26,raw!$F:$F,"*"&amp;C$1)</f>
        <v>0</v>
      </c>
      <c r="D26" s="5">
        <f>SUMIFS(raw!$C:$C,raw!$A:$A,$B26,raw!$F:$F,"*"&amp;D$1)</f>
        <v>0</v>
      </c>
      <c r="E26" s="5">
        <f>SUMIFS(raw!$C:$C,raw!$A:$A,$B26,raw!$F:$F,"*"&amp;E$1)</f>
        <v>0</v>
      </c>
      <c r="F26" s="5">
        <f>SUMIFS(raw!$C:$C,raw!$A:$A,$B26,raw!$F:$F,"*"&amp;F$1)</f>
        <v>0</v>
      </c>
      <c r="G26" s="5">
        <f>SUMIFS(raw!$C:$C,raw!$A:$A,$B26,raw!$F:$F,"*"&amp;G$1)</f>
        <v>0</v>
      </c>
      <c r="H26" s="5">
        <f>SUMIFS(raw!$C:$C,raw!$A:$A,$B26,raw!$F:$F,"*"&amp;H$1)</f>
        <v>0</v>
      </c>
      <c r="K26" s="6">
        <f>SUM(C26:H26)</f>
        <v>0</v>
      </c>
    </row>
    <row r="27" spans="1:11" x14ac:dyDescent="0.7">
      <c r="A27" s="3">
        <v>26</v>
      </c>
      <c r="B27" s="4" t="s">
        <v>48</v>
      </c>
      <c r="C27" s="5">
        <f>SUMIFS(raw!$C:$C,raw!$A:$A,$B27,raw!$F:$F,"*"&amp;C$1)</f>
        <v>0</v>
      </c>
      <c r="D27" s="5">
        <f>SUMIFS(raw!$C:$C,raw!$A:$A,$B27,raw!$F:$F,"*"&amp;D$1)</f>
        <v>0</v>
      </c>
      <c r="E27" s="5">
        <f>SUMIFS(raw!$C:$C,raw!$A:$A,$B27,raw!$F:$F,"*"&amp;E$1)</f>
        <v>0</v>
      </c>
      <c r="F27" s="5">
        <f>SUMIFS(raw!$C:$C,raw!$A:$A,$B27,raw!$F:$F,"*"&amp;F$1)</f>
        <v>0</v>
      </c>
      <c r="G27" s="5">
        <f>SUMIFS(raw!$C:$C,raw!$A:$A,$B27,raw!$F:$F,"*"&amp;G$1)</f>
        <v>0</v>
      </c>
      <c r="H27" s="5">
        <f>SUMIFS(raw!$C:$C,raw!$A:$A,$B27,raw!$F:$F,"*"&amp;H$1)</f>
        <v>0</v>
      </c>
      <c r="K27" s="6">
        <f>SUM(C27:H27)</f>
        <v>0</v>
      </c>
    </row>
    <row r="28" spans="1:11" x14ac:dyDescent="0.7">
      <c r="A28" s="3">
        <v>27</v>
      </c>
      <c r="B28" s="4" t="s">
        <v>49</v>
      </c>
      <c r="C28" s="5">
        <f>SUMIFS(raw!$C:$C,raw!$A:$A,$B28,raw!$F:$F,"*"&amp;C$1)</f>
        <v>0</v>
      </c>
      <c r="D28" s="5">
        <f>SUMIFS(raw!$C:$C,raw!$A:$A,$B28,raw!$F:$F,"*"&amp;D$1)</f>
        <v>0</v>
      </c>
      <c r="E28" s="5">
        <f>SUMIFS(raw!$C:$C,raw!$A:$A,$B28,raw!$F:$F,"*"&amp;E$1)</f>
        <v>0</v>
      </c>
      <c r="F28" s="5">
        <f>SUMIFS(raw!$C:$C,raw!$A:$A,$B28,raw!$F:$F,"*"&amp;F$1)</f>
        <v>0</v>
      </c>
      <c r="G28" s="5">
        <f>SUMIFS(raw!$C:$C,raw!$A:$A,$B28,raw!$F:$F,"*"&amp;G$1)</f>
        <v>0</v>
      </c>
      <c r="H28" s="5">
        <f>SUMIFS(raw!$C:$C,raw!$A:$A,$B28,raw!$F:$F,"*"&amp;H$1)</f>
        <v>0</v>
      </c>
      <c r="K28" s="6">
        <f>SUM(C28:H28)</f>
        <v>0</v>
      </c>
    </row>
    <row r="29" spans="1:11" x14ac:dyDescent="0.7">
      <c r="A29" s="3">
        <v>28</v>
      </c>
      <c r="B29" s="4" t="s">
        <v>50</v>
      </c>
      <c r="C29" s="5">
        <f>SUMIFS(raw!$C:$C,raw!$A:$A,$B29,raw!$F:$F,"*"&amp;C$1)</f>
        <v>0</v>
      </c>
      <c r="D29" s="5">
        <f>SUMIFS(raw!$C:$C,raw!$A:$A,$B29,raw!$F:$F,"*"&amp;D$1)</f>
        <v>0</v>
      </c>
      <c r="E29" s="5">
        <f>SUMIFS(raw!$C:$C,raw!$A:$A,$B29,raw!$F:$F,"*"&amp;E$1)</f>
        <v>0</v>
      </c>
      <c r="F29" s="5">
        <f>SUMIFS(raw!$C:$C,raw!$A:$A,$B29,raw!$F:$F,"*"&amp;F$1)</f>
        <v>0</v>
      </c>
      <c r="G29" s="5">
        <f>SUMIFS(raw!$C:$C,raw!$A:$A,$B29,raw!$F:$F,"*"&amp;G$1)</f>
        <v>0</v>
      </c>
      <c r="H29" s="5">
        <f>SUMIFS(raw!$C:$C,raw!$A:$A,$B29,raw!$F:$F,"*"&amp;H$1)</f>
        <v>0</v>
      </c>
      <c r="K29" s="6">
        <f>SUM(C29:H29)</f>
        <v>0</v>
      </c>
    </row>
    <row r="30" spans="1:11" x14ac:dyDescent="0.7">
      <c r="A30" s="3">
        <v>29</v>
      </c>
      <c r="B30" s="4" t="s">
        <v>51</v>
      </c>
      <c r="C30" s="5">
        <f>SUMIFS(raw!$C:$C,raw!$A:$A,$B30,raw!$F:$F,"*"&amp;C$1)</f>
        <v>0</v>
      </c>
      <c r="D30" s="5">
        <f>SUMIFS(raw!$C:$C,raw!$A:$A,$B30,raw!$F:$F,"*"&amp;D$1)</f>
        <v>0</v>
      </c>
      <c r="E30" s="5">
        <f>SUMIFS(raw!$C:$C,raw!$A:$A,$B30,raw!$F:$F,"*"&amp;E$1)</f>
        <v>0</v>
      </c>
      <c r="F30" s="5">
        <f>SUMIFS(raw!$C:$C,raw!$A:$A,$B30,raw!$F:$F,"*"&amp;F$1)</f>
        <v>0</v>
      </c>
      <c r="G30" s="5">
        <f>SUMIFS(raw!$C:$C,raw!$A:$A,$B30,raw!$F:$F,"*"&amp;G$1)</f>
        <v>0</v>
      </c>
      <c r="H30" s="5">
        <f>SUMIFS(raw!$C:$C,raw!$A:$A,$B30,raw!$F:$F,"*"&amp;H$1)</f>
        <v>0</v>
      </c>
      <c r="K30" s="6">
        <f>SUM(C30:H30)</f>
        <v>0</v>
      </c>
    </row>
    <row r="31" spans="1:11" x14ac:dyDescent="0.7">
      <c r="A31" s="3">
        <v>30</v>
      </c>
      <c r="B31" s="4" t="s">
        <v>52</v>
      </c>
      <c r="C31" s="5">
        <f>SUMIFS(raw!$C:$C,raw!$A:$A,$B31,raw!$F:$F,"*"&amp;C$1)</f>
        <v>0</v>
      </c>
      <c r="D31" s="5">
        <f>SUMIFS(raw!$C:$C,raw!$A:$A,$B31,raw!$F:$F,"*"&amp;D$1)</f>
        <v>0</v>
      </c>
      <c r="E31" s="5">
        <f>SUMIFS(raw!$C:$C,raw!$A:$A,$B31,raw!$F:$F,"*"&amp;E$1)</f>
        <v>0</v>
      </c>
      <c r="F31" s="5">
        <f>SUMIFS(raw!$C:$C,raw!$A:$A,$B31,raw!$F:$F,"*"&amp;F$1)</f>
        <v>0</v>
      </c>
      <c r="G31" s="5">
        <f>SUMIFS(raw!$C:$C,raw!$A:$A,$B31,raw!$F:$F,"*"&amp;G$1)</f>
        <v>0</v>
      </c>
      <c r="H31" s="5">
        <f>SUMIFS(raw!$C:$C,raw!$A:$A,$B31,raw!$F:$F,"*"&amp;H$1)</f>
        <v>0</v>
      </c>
      <c r="K31" s="6">
        <f>SUM(C31:H31)</f>
        <v>0</v>
      </c>
    </row>
    <row r="32" spans="1:11" x14ac:dyDescent="0.7">
      <c r="A32" s="3">
        <v>31</v>
      </c>
      <c r="B32" s="4" t="s">
        <v>53</v>
      </c>
      <c r="C32" s="5">
        <f>SUMIFS(raw!$C:$C,raw!$A:$A,$B32,raw!$F:$F,"*"&amp;C$1)</f>
        <v>1.5</v>
      </c>
      <c r="D32" s="5">
        <f>SUMIFS(raw!$C:$C,raw!$A:$A,$B32,raw!$F:$F,"*"&amp;D$1)</f>
        <v>7.5</v>
      </c>
      <c r="E32" s="5">
        <f>SUMIFS(raw!$C:$C,raw!$A:$A,$B32,raw!$F:$F,"*"&amp;E$1)</f>
        <v>0</v>
      </c>
      <c r="F32" s="5">
        <f>SUMIFS(raw!$C:$C,raw!$A:$A,$B32,raw!$F:$F,"*"&amp;F$1)</f>
        <v>7.5</v>
      </c>
      <c r="G32" s="5">
        <f>SUMIFS(raw!$C:$C,raw!$A:$A,$B32,raw!$F:$F,"*"&amp;G$1)</f>
        <v>4.5</v>
      </c>
      <c r="H32" s="5">
        <f>SUMIFS(raw!$C:$C,raw!$A:$A,$B32,raw!$F:$F,"*"&amp;H$1)</f>
        <v>0</v>
      </c>
      <c r="K32" s="6">
        <f>SUM(C32:H32)</f>
        <v>21</v>
      </c>
    </row>
    <row r="33" spans="1:11" x14ac:dyDescent="0.7">
      <c r="A33" s="3">
        <v>32</v>
      </c>
      <c r="B33" s="4" t="s">
        <v>54</v>
      </c>
      <c r="C33" s="5">
        <f>SUMIFS(raw!$C:$C,raw!$A:$A,$B33,raw!$F:$F,"*"&amp;C$1)</f>
        <v>8.5</v>
      </c>
      <c r="D33" s="5">
        <f>SUMIFS(raw!$C:$C,raw!$A:$A,$B33,raw!$F:$F,"*"&amp;D$1)</f>
        <v>32</v>
      </c>
      <c r="E33" s="5">
        <f>SUMIFS(raw!$C:$C,raw!$A:$A,$B33,raw!$F:$F,"*"&amp;E$1)</f>
        <v>2.5</v>
      </c>
      <c r="F33" s="5">
        <f>SUMIFS(raw!$C:$C,raw!$A:$A,$B33,raw!$F:$F,"*"&amp;F$1)</f>
        <v>12.5</v>
      </c>
      <c r="G33" s="5">
        <f>SUMIFS(raw!$C:$C,raw!$A:$A,$B33,raw!$F:$F,"*"&amp;G$1)</f>
        <v>12</v>
      </c>
      <c r="H33" s="5">
        <f>SUMIFS(raw!$C:$C,raw!$A:$A,$B33,raw!$F:$F,"*"&amp;H$1)</f>
        <v>20</v>
      </c>
      <c r="K33" s="6">
        <f>SUM(C33:H33)</f>
        <v>87.5</v>
      </c>
    </row>
    <row r="34" spans="1:11" x14ac:dyDescent="0.7">
      <c r="A34" s="3">
        <v>33</v>
      </c>
      <c r="B34" s="4" t="s">
        <v>55</v>
      </c>
      <c r="C34" s="5">
        <f>SUMIFS(raw!$C:$C,raw!$A:$A,$B34,raw!$F:$F,"*"&amp;C$1)</f>
        <v>0</v>
      </c>
      <c r="D34" s="5">
        <f>SUMIFS(raw!$C:$C,raw!$A:$A,$B34,raw!$F:$F,"*"&amp;D$1)</f>
        <v>0</v>
      </c>
      <c r="E34" s="5">
        <f>SUMIFS(raw!$C:$C,raw!$A:$A,$B34,raw!$F:$F,"*"&amp;E$1)</f>
        <v>0</v>
      </c>
      <c r="F34" s="5">
        <f>SUMIFS(raw!$C:$C,raw!$A:$A,$B34,raw!$F:$F,"*"&amp;F$1)</f>
        <v>0</v>
      </c>
      <c r="G34" s="5">
        <f>SUMIFS(raw!$C:$C,raw!$A:$A,$B34,raw!$F:$F,"*"&amp;G$1)</f>
        <v>0</v>
      </c>
      <c r="H34" s="5">
        <f>SUMIFS(raw!$C:$C,raw!$A:$A,$B34,raw!$F:$F,"*"&amp;H$1)</f>
        <v>0</v>
      </c>
      <c r="K34" s="6">
        <f>SUM(C34:H34)</f>
        <v>0</v>
      </c>
    </row>
    <row r="35" spans="1:11" x14ac:dyDescent="0.7">
      <c r="A35" s="3">
        <v>34</v>
      </c>
      <c r="B35" s="4" t="s">
        <v>3</v>
      </c>
      <c r="C35" s="5">
        <f>SUMIFS(raw!$C:$C,raw!$A:$A,$B35,raw!$F:$F,"*"&amp;C$1)</f>
        <v>3175.5</v>
      </c>
      <c r="D35" s="5">
        <f>SUMIFS(raw!$C:$C,raw!$A:$A,$B35,raw!$F:$F,"*"&amp;D$1)</f>
        <v>8945</v>
      </c>
      <c r="E35" s="5">
        <f>SUMIFS(raw!$C:$C,raw!$A:$A,$B35,raw!$F:$F,"*"&amp;E$1)</f>
        <v>304</v>
      </c>
      <c r="F35" s="5">
        <f>SUMIFS(raw!$C:$C,raw!$A:$A,$B35,raw!$F:$F,"*"&amp;F$1)</f>
        <v>12917.5</v>
      </c>
      <c r="G35" s="5">
        <f>SUMIFS(raw!$C:$C,raw!$A:$A,$B35,raw!$F:$F,"*"&amp;G$1)</f>
        <v>2765</v>
      </c>
      <c r="H35" s="5">
        <f>SUMIFS(raw!$C:$C,raw!$A:$A,$B35,raw!$F:$F,"*"&amp;H$1)</f>
        <v>5181.5</v>
      </c>
      <c r="K35" s="6">
        <f>SUM(C35:H35)</f>
        <v>33288.5</v>
      </c>
    </row>
    <row r="36" spans="1:11" x14ac:dyDescent="0.7">
      <c r="A36" s="3">
        <v>35</v>
      </c>
      <c r="B36" s="4" t="s">
        <v>56</v>
      </c>
      <c r="C36" s="5">
        <f>SUMIFS(raw!$C:$C,raw!$A:$A,$B36,raw!$F:$F,"*"&amp;C$1)</f>
        <v>0</v>
      </c>
      <c r="D36" s="5">
        <f>SUMIFS(raw!$C:$C,raw!$A:$A,$B36,raw!$F:$F,"*"&amp;D$1)</f>
        <v>0</v>
      </c>
      <c r="E36" s="5">
        <f>SUMIFS(raw!$C:$C,raw!$A:$A,$B36,raw!$F:$F,"*"&amp;E$1)</f>
        <v>0</v>
      </c>
      <c r="F36" s="5">
        <f>SUMIFS(raw!$C:$C,raw!$A:$A,$B36,raw!$F:$F,"*"&amp;F$1)</f>
        <v>0</v>
      </c>
      <c r="G36" s="5">
        <f>SUMIFS(raw!$C:$C,raw!$A:$A,$B36,raw!$F:$F,"*"&amp;G$1)</f>
        <v>0</v>
      </c>
      <c r="H36" s="5">
        <f>SUMIFS(raw!$C:$C,raw!$A:$A,$B36,raw!$F:$F,"*"&amp;H$1)</f>
        <v>0</v>
      </c>
      <c r="K36" s="6">
        <f>SUM(C36:H36)</f>
        <v>0</v>
      </c>
    </row>
    <row r="37" spans="1:11" x14ac:dyDescent="0.7">
      <c r="A37" s="3">
        <v>36</v>
      </c>
      <c r="B37" s="4" t="s">
        <v>57</v>
      </c>
      <c r="C37" s="5">
        <f>SUMIFS(raw!$C:$C,raw!$A:$A,$B37,raw!$F:$F,"*"&amp;C$1)</f>
        <v>0</v>
      </c>
      <c r="D37" s="5">
        <f>SUMIFS(raw!$C:$C,raw!$A:$A,$B37,raw!$F:$F,"*"&amp;D$1)</f>
        <v>0</v>
      </c>
      <c r="E37" s="5">
        <f>SUMIFS(raw!$C:$C,raw!$A:$A,$B37,raw!$F:$F,"*"&amp;E$1)</f>
        <v>0</v>
      </c>
      <c r="F37" s="5">
        <f>SUMIFS(raw!$C:$C,raw!$A:$A,$B37,raw!$F:$F,"*"&amp;F$1)</f>
        <v>0</v>
      </c>
      <c r="G37" s="5">
        <f>SUMIFS(raw!$C:$C,raw!$A:$A,$B37,raw!$F:$F,"*"&amp;G$1)</f>
        <v>0</v>
      </c>
      <c r="H37" s="5">
        <f>SUMIFS(raw!$C:$C,raw!$A:$A,$B37,raw!$F:$F,"*"&amp;H$1)</f>
        <v>0</v>
      </c>
      <c r="K37" s="6">
        <f>SUM(C37:H37)</f>
        <v>0</v>
      </c>
    </row>
    <row r="38" spans="1:11" x14ac:dyDescent="0.7">
      <c r="A38" s="3">
        <v>37</v>
      </c>
      <c r="B38" s="4" t="s">
        <v>58</v>
      </c>
      <c r="C38" s="5">
        <f>SUMIFS(raw!$C:$C,raw!$A:$A,$B38,raw!$F:$F,"*"&amp;C$1)</f>
        <v>0</v>
      </c>
      <c r="D38" s="5">
        <f>SUMIFS(raw!$C:$C,raw!$A:$A,$B38,raw!$F:$F,"*"&amp;D$1)</f>
        <v>0</v>
      </c>
      <c r="E38" s="5">
        <f>SUMIFS(raw!$C:$C,raw!$A:$A,$B38,raw!$F:$F,"*"&amp;E$1)</f>
        <v>0</v>
      </c>
      <c r="F38" s="5">
        <f>SUMIFS(raw!$C:$C,raw!$A:$A,$B38,raw!$F:$F,"*"&amp;F$1)</f>
        <v>0</v>
      </c>
      <c r="G38" s="5">
        <f>SUMIFS(raw!$C:$C,raw!$A:$A,$B38,raw!$F:$F,"*"&amp;G$1)</f>
        <v>0</v>
      </c>
      <c r="H38" s="5">
        <f>SUMIFS(raw!$C:$C,raw!$A:$A,$B38,raw!$F:$F,"*"&amp;H$1)</f>
        <v>0</v>
      </c>
      <c r="K38" s="6">
        <f>SUM(C38:H38)</f>
        <v>0</v>
      </c>
    </row>
    <row r="39" spans="1:11" x14ac:dyDescent="0.7">
      <c r="A39" s="3">
        <v>38</v>
      </c>
      <c r="B39" s="4" t="s">
        <v>59</v>
      </c>
      <c r="C39" s="5">
        <f>SUMIFS(raw!$C:$C,raw!$A:$A,$B39,raw!$F:$F,"*"&amp;C$1)</f>
        <v>0.5</v>
      </c>
      <c r="D39" s="5">
        <f>SUMIFS(raw!$C:$C,raw!$A:$A,$B39,raw!$F:$F,"*"&amp;D$1)</f>
        <v>1230</v>
      </c>
      <c r="E39" s="5">
        <f>SUMIFS(raw!$C:$C,raw!$A:$A,$B39,raw!$F:$F,"*"&amp;E$1)</f>
        <v>43</v>
      </c>
      <c r="F39" s="5">
        <f>SUMIFS(raw!$C:$C,raw!$A:$A,$B39,raw!$F:$F,"*"&amp;F$1)</f>
        <v>0</v>
      </c>
      <c r="G39" s="5">
        <f>SUMIFS(raw!$C:$C,raw!$A:$A,$B39,raw!$F:$F,"*"&amp;G$1)</f>
        <v>0</v>
      </c>
      <c r="H39" s="5">
        <f>SUMIFS(raw!$C:$C,raw!$A:$A,$B39,raw!$F:$F,"*"&amp;H$1)</f>
        <v>0</v>
      </c>
      <c r="K39" s="6">
        <f>SUM(C39:H39)</f>
        <v>1273.5</v>
      </c>
    </row>
    <row r="40" spans="1:11" x14ac:dyDescent="0.7">
      <c r="A40" s="3">
        <v>39</v>
      </c>
      <c r="B40" s="4" t="s">
        <v>60</v>
      </c>
      <c r="C40" s="5">
        <f>SUMIFS(raw!$C:$C,raw!$A:$A,$B40,raw!$F:$F,"*"&amp;C$1)</f>
        <v>0</v>
      </c>
      <c r="D40" s="5">
        <f>SUMIFS(raw!$C:$C,raw!$A:$A,$B40,raw!$F:$F,"*"&amp;D$1)</f>
        <v>0</v>
      </c>
      <c r="E40" s="5">
        <f>SUMIFS(raw!$C:$C,raw!$A:$A,$B40,raw!$F:$F,"*"&amp;E$1)</f>
        <v>0</v>
      </c>
      <c r="F40" s="5">
        <f>SUMIFS(raw!$C:$C,raw!$A:$A,$B40,raw!$F:$F,"*"&amp;F$1)</f>
        <v>0</v>
      </c>
      <c r="G40" s="5">
        <f>SUMIFS(raw!$C:$C,raw!$A:$A,$B40,raw!$F:$F,"*"&amp;G$1)</f>
        <v>0</v>
      </c>
      <c r="H40" s="5">
        <f>SUMIFS(raw!$C:$C,raw!$A:$A,$B40,raw!$F:$F,"*"&amp;H$1)</f>
        <v>0</v>
      </c>
      <c r="K40" s="6">
        <f>SUM(C40:H40)</f>
        <v>0</v>
      </c>
    </row>
    <row r="41" spans="1:11" x14ac:dyDescent="0.7">
      <c r="A41" s="3">
        <v>40</v>
      </c>
      <c r="B41" s="4" t="s">
        <v>61</v>
      </c>
      <c r="C41" s="5">
        <f>SUMIFS(raw!$C:$C,raw!$A:$A,$B41,raw!$F:$F,"*"&amp;C$1)</f>
        <v>22</v>
      </c>
      <c r="D41" s="5">
        <f>SUMIFS(raw!$C:$C,raw!$A:$A,$B41,raw!$F:$F,"*"&amp;D$1)</f>
        <v>34</v>
      </c>
      <c r="E41" s="5">
        <f>SUMIFS(raw!$C:$C,raw!$A:$A,$B41,raw!$F:$F,"*"&amp;E$1)</f>
        <v>0</v>
      </c>
      <c r="F41" s="5">
        <f>SUMIFS(raw!$C:$C,raw!$A:$A,$B41,raw!$F:$F,"*"&amp;F$1)</f>
        <v>65.5</v>
      </c>
      <c r="G41" s="5">
        <f>SUMIFS(raw!$C:$C,raw!$A:$A,$B41,raw!$F:$F,"*"&amp;G$1)</f>
        <v>17</v>
      </c>
      <c r="H41" s="5">
        <f>SUMIFS(raw!$C:$C,raw!$A:$A,$B41,raw!$F:$F,"*"&amp;H$1)</f>
        <v>25.5</v>
      </c>
      <c r="K41" s="6">
        <f>SUM(C41:H41)</f>
        <v>164</v>
      </c>
    </row>
    <row r="42" spans="1:11" x14ac:dyDescent="0.7">
      <c r="A42" s="3">
        <v>41</v>
      </c>
      <c r="B42" s="4" t="s">
        <v>62</v>
      </c>
      <c r="C42" s="5">
        <f>SUMIFS(raw!$C:$C,raw!$A:$A,$B42,raw!$F:$F,"*"&amp;C$1)</f>
        <v>0</v>
      </c>
      <c r="D42" s="5">
        <f>SUMIFS(raw!$C:$C,raw!$A:$A,$B42,raw!$F:$F,"*"&amp;D$1)</f>
        <v>15</v>
      </c>
      <c r="E42" s="5">
        <f>SUMIFS(raw!$C:$C,raw!$A:$A,$B42,raw!$F:$F,"*"&amp;E$1)</f>
        <v>0</v>
      </c>
      <c r="F42" s="5">
        <f>SUMIFS(raw!$C:$C,raw!$A:$A,$B42,raw!$F:$F,"*"&amp;F$1)</f>
        <v>0</v>
      </c>
      <c r="G42" s="5">
        <f>SUMIFS(raw!$C:$C,raw!$A:$A,$B42,raw!$F:$F,"*"&amp;G$1)</f>
        <v>7</v>
      </c>
      <c r="H42" s="5">
        <f>SUMIFS(raw!$C:$C,raw!$A:$A,$B42,raw!$F:$F,"*"&amp;H$1)</f>
        <v>0</v>
      </c>
      <c r="K42" s="6">
        <f>SUM(C42:H42)</f>
        <v>22</v>
      </c>
    </row>
    <row r="43" spans="1:11" x14ac:dyDescent="0.7">
      <c r="A43" s="3">
        <v>42</v>
      </c>
      <c r="B43" s="4" t="s">
        <v>63</v>
      </c>
      <c r="C43" s="5">
        <f>SUMIFS(raw!$C:$C,raw!$A:$A,$B43,raw!$F:$F,"*"&amp;C$1)</f>
        <v>3</v>
      </c>
      <c r="D43" s="5">
        <f>SUMIFS(raw!$C:$C,raw!$A:$A,$B43,raw!$F:$F,"*"&amp;D$1)</f>
        <v>3.5</v>
      </c>
      <c r="E43" s="5">
        <f>SUMIFS(raw!$C:$C,raw!$A:$A,$B43,raw!$F:$F,"*"&amp;E$1)</f>
        <v>0</v>
      </c>
      <c r="F43" s="5">
        <f>SUMIFS(raw!$C:$C,raw!$A:$A,$B43,raw!$F:$F,"*"&amp;F$1)</f>
        <v>0</v>
      </c>
      <c r="G43" s="5">
        <f>SUMIFS(raw!$C:$C,raw!$A:$A,$B43,raw!$F:$F,"*"&amp;G$1)</f>
        <v>4</v>
      </c>
      <c r="H43" s="5">
        <f>SUMIFS(raw!$C:$C,raw!$A:$A,$B43,raw!$F:$F,"*"&amp;H$1)</f>
        <v>0</v>
      </c>
      <c r="K43" s="6">
        <f>SUM(C43:H43)</f>
        <v>10.5</v>
      </c>
    </row>
    <row r="44" spans="1:11" x14ac:dyDescent="0.7">
      <c r="A44" s="3">
        <v>43</v>
      </c>
      <c r="B44" s="4" t="s">
        <v>64</v>
      </c>
      <c r="C44" s="5">
        <f>SUMIFS(raw!$C:$C,raw!$A:$A,$B44,raw!$F:$F,"*"&amp;C$1)</f>
        <v>0</v>
      </c>
      <c r="D44" s="5">
        <f>SUMIFS(raw!$C:$C,raw!$A:$A,$B44,raw!$F:$F,"*"&amp;D$1)</f>
        <v>0</v>
      </c>
      <c r="E44" s="5">
        <f>SUMIFS(raw!$C:$C,raw!$A:$A,$B44,raw!$F:$F,"*"&amp;E$1)</f>
        <v>0</v>
      </c>
      <c r="F44" s="5">
        <f>SUMIFS(raw!$C:$C,raw!$A:$A,$B44,raw!$F:$F,"*"&amp;F$1)</f>
        <v>0</v>
      </c>
      <c r="G44" s="5">
        <f>SUMIFS(raw!$C:$C,raw!$A:$A,$B44,raw!$F:$F,"*"&amp;G$1)</f>
        <v>0</v>
      </c>
      <c r="H44" s="5">
        <f>SUMIFS(raw!$C:$C,raw!$A:$A,$B44,raw!$F:$F,"*"&amp;H$1)</f>
        <v>0</v>
      </c>
      <c r="K44" s="6">
        <f>SUM(C44:H44)</f>
        <v>0</v>
      </c>
    </row>
    <row r="45" spans="1:11" x14ac:dyDescent="0.7">
      <c r="A45" s="3">
        <v>44</v>
      </c>
      <c r="B45" s="4" t="s">
        <v>14</v>
      </c>
      <c r="C45" s="5">
        <f>SUMIFS(raw!$C:$C,raw!$A:$A,$B45,raw!$F:$F,"*"&amp;C$1)</f>
        <v>1369.5</v>
      </c>
      <c r="D45" s="5">
        <f>SUMIFS(raw!$C:$C,raw!$A:$A,$B45,raw!$F:$F,"*"&amp;D$1)</f>
        <v>1443</v>
      </c>
      <c r="E45" s="5">
        <f>SUMIFS(raw!$C:$C,raw!$A:$A,$B45,raw!$F:$F,"*"&amp;E$1)</f>
        <v>578.5</v>
      </c>
      <c r="F45" s="5">
        <f>SUMIFS(raw!$C:$C,raw!$A:$A,$B45,raw!$F:$F,"*"&amp;F$1)</f>
        <v>599.5</v>
      </c>
      <c r="G45" s="5">
        <f>SUMIFS(raw!$C:$C,raw!$A:$A,$B45,raw!$F:$F,"*"&amp;G$1)</f>
        <v>394.5</v>
      </c>
      <c r="H45" s="5">
        <f>SUMIFS(raw!$C:$C,raw!$A:$A,$B45,raw!$F:$F,"*"&amp;H$1)</f>
        <v>260</v>
      </c>
      <c r="K45" s="6">
        <f>SUM(C45:H45)</f>
        <v>4645</v>
      </c>
    </row>
    <row r="46" spans="1:11" x14ac:dyDescent="0.7">
      <c r="A46" s="3">
        <v>45</v>
      </c>
      <c r="B46" s="4" t="s">
        <v>65</v>
      </c>
      <c r="C46" s="5">
        <f>SUMIFS(raw!$C:$C,raw!$A:$A,$B46,raw!$F:$F,"*"&amp;C$1)</f>
        <v>17325.5</v>
      </c>
      <c r="D46" s="5">
        <f>SUMIFS(raw!$C:$C,raw!$A:$A,$B46,raw!$F:$F,"*"&amp;D$1)</f>
        <v>10039</v>
      </c>
      <c r="E46" s="5">
        <f>SUMIFS(raw!$C:$C,raw!$A:$A,$B46,raw!$F:$F,"*"&amp;E$1)</f>
        <v>6099</v>
      </c>
      <c r="F46" s="5">
        <f>SUMIFS(raw!$C:$C,raw!$A:$A,$B46,raw!$F:$F,"*"&amp;F$1)</f>
        <v>3122.5</v>
      </c>
      <c r="G46" s="5">
        <f>SUMIFS(raw!$C:$C,raw!$A:$A,$B46,raw!$F:$F,"*"&amp;G$1)</f>
        <v>1220.5</v>
      </c>
      <c r="H46" s="5">
        <f>SUMIFS(raw!$C:$C,raw!$A:$A,$B46,raw!$F:$F,"*"&amp;H$1)</f>
        <v>1624.5</v>
      </c>
      <c r="K46" s="6">
        <f>SUM(C46:H46)</f>
        <v>39431</v>
      </c>
    </row>
    <row r="47" spans="1:11" x14ac:dyDescent="0.7">
      <c r="A47" s="3">
        <v>46</v>
      </c>
      <c r="B47" s="4" t="s">
        <v>66</v>
      </c>
      <c r="C47" s="5">
        <f>SUMIFS(raw!$C:$C,raw!$A:$A,$B47,raw!$F:$F,"*"&amp;C$1)</f>
        <v>0</v>
      </c>
      <c r="D47" s="5">
        <f>SUMIFS(raw!$C:$C,raw!$A:$A,$B47,raw!$F:$F,"*"&amp;D$1)</f>
        <v>0</v>
      </c>
      <c r="E47" s="5">
        <f>SUMIFS(raw!$C:$C,raw!$A:$A,$B47,raw!$F:$F,"*"&amp;E$1)</f>
        <v>0</v>
      </c>
      <c r="F47" s="5">
        <f>SUMIFS(raw!$C:$C,raw!$A:$A,$B47,raw!$F:$F,"*"&amp;F$1)</f>
        <v>0</v>
      </c>
      <c r="G47" s="5">
        <f>SUMIFS(raw!$C:$C,raw!$A:$A,$B47,raw!$F:$F,"*"&amp;G$1)</f>
        <v>0</v>
      </c>
      <c r="H47" s="5">
        <f>SUMIFS(raw!$C:$C,raw!$A:$A,$B47,raw!$F:$F,"*"&amp;H$1)</f>
        <v>0</v>
      </c>
      <c r="K47" s="6">
        <f>SUM(C47:H47)</f>
        <v>0</v>
      </c>
    </row>
    <row r="48" spans="1:11" x14ac:dyDescent="0.7">
      <c r="A48" s="3">
        <v>47</v>
      </c>
      <c r="B48" s="4" t="s">
        <v>67</v>
      </c>
      <c r="C48" s="5">
        <f>SUMIFS(raw!$C:$C,raw!$A:$A,$B48,raw!$F:$F,"*"&amp;C$1)</f>
        <v>0</v>
      </c>
      <c r="D48" s="5">
        <f>SUMIFS(raw!$C:$C,raw!$A:$A,$B48,raw!$F:$F,"*"&amp;D$1)</f>
        <v>0</v>
      </c>
      <c r="E48" s="5">
        <f>SUMIFS(raw!$C:$C,raw!$A:$A,$B48,raw!$F:$F,"*"&amp;E$1)</f>
        <v>0</v>
      </c>
      <c r="F48" s="5">
        <f>SUMIFS(raw!$C:$C,raw!$A:$A,$B48,raw!$F:$F,"*"&amp;F$1)</f>
        <v>0</v>
      </c>
      <c r="G48" s="5">
        <f>SUMIFS(raw!$C:$C,raw!$A:$A,$B48,raw!$F:$F,"*"&amp;G$1)</f>
        <v>0</v>
      </c>
      <c r="H48" s="5">
        <f>SUMIFS(raw!$C:$C,raw!$A:$A,$B48,raw!$F:$F,"*"&amp;H$1)</f>
        <v>0</v>
      </c>
      <c r="K48" s="6">
        <f>SUM(C48:H48)</f>
        <v>0</v>
      </c>
    </row>
    <row r="49" spans="1:11" x14ac:dyDescent="0.7">
      <c r="A49" s="3">
        <v>48</v>
      </c>
      <c r="B49" s="4" t="s">
        <v>68</v>
      </c>
      <c r="C49" s="5">
        <f>SUMIFS(raw!$C:$C,raw!$A:$A,$B49,raw!$F:$F,"*"&amp;C$1)</f>
        <v>0</v>
      </c>
      <c r="D49" s="5">
        <f>SUMIFS(raw!$C:$C,raw!$A:$A,$B49,raw!$F:$F,"*"&amp;D$1)</f>
        <v>0</v>
      </c>
      <c r="E49" s="5">
        <f>SUMIFS(raw!$C:$C,raw!$A:$A,$B49,raw!$F:$F,"*"&amp;E$1)</f>
        <v>0</v>
      </c>
      <c r="F49" s="5">
        <f>SUMIFS(raw!$C:$C,raw!$A:$A,$B49,raw!$F:$F,"*"&amp;F$1)</f>
        <v>0</v>
      </c>
      <c r="G49" s="5">
        <f>SUMIFS(raw!$C:$C,raw!$A:$A,$B49,raw!$F:$F,"*"&amp;G$1)</f>
        <v>0</v>
      </c>
      <c r="H49" s="5">
        <f>SUMIFS(raw!$C:$C,raw!$A:$A,$B49,raw!$F:$F,"*"&amp;H$1)</f>
        <v>0</v>
      </c>
      <c r="K49" s="6">
        <f>SUM(C49:H49)</f>
        <v>0</v>
      </c>
    </row>
    <row r="50" spans="1:11" x14ac:dyDescent="0.7">
      <c r="A50" s="3">
        <v>49</v>
      </c>
      <c r="B50" s="4" t="s">
        <v>69</v>
      </c>
      <c r="C50" s="5">
        <f>SUMIFS(raw!$C:$C,raw!$A:$A,$B50,raw!$F:$F,"*"&amp;C$1)</f>
        <v>0</v>
      </c>
      <c r="D50" s="5">
        <f>SUMIFS(raw!$C:$C,raw!$A:$A,$B50,raw!$F:$F,"*"&amp;D$1)</f>
        <v>0</v>
      </c>
      <c r="E50" s="5">
        <f>SUMIFS(raw!$C:$C,raw!$A:$A,$B50,raw!$F:$F,"*"&amp;E$1)</f>
        <v>0</v>
      </c>
      <c r="F50" s="5">
        <f>SUMIFS(raw!$C:$C,raw!$A:$A,$B50,raw!$F:$F,"*"&amp;F$1)</f>
        <v>0</v>
      </c>
      <c r="G50" s="5">
        <f>SUMIFS(raw!$C:$C,raw!$A:$A,$B50,raw!$F:$F,"*"&amp;G$1)</f>
        <v>0</v>
      </c>
      <c r="H50" s="5">
        <f>SUMIFS(raw!$C:$C,raw!$A:$A,$B50,raw!$F:$F,"*"&amp;H$1)</f>
        <v>0</v>
      </c>
      <c r="K50" s="6">
        <f>SUM(C50:H50)</f>
        <v>0</v>
      </c>
    </row>
    <row r="51" spans="1:11" x14ac:dyDescent="0.7">
      <c r="A51" s="3">
        <v>50</v>
      </c>
      <c r="B51" s="4" t="s">
        <v>11</v>
      </c>
      <c r="C51" s="5">
        <f>SUMIFS(raw!$C:$C,raw!$A:$A,$B51,raw!$F:$F,"*"&amp;C$1)</f>
        <v>510.5</v>
      </c>
      <c r="D51" s="5">
        <f>SUMIFS(raw!$C:$C,raw!$A:$A,$B51,raw!$F:$F,"*"&amp;D$1)</f>
        <v>561</v>
      </c>
      <c r="E51" s="5">
        <f>SUMIFS(raw!$C:$C,raw!$A:$A,$B51,raw!$F:$F,"*"&amp;E$1)</f>
        <v>518.5</v>
      </c>
      <c r="F51" s="5">
        <f>SUMIFS(raw!$C:$C,raw!$A:$A,$B51,raw!$F:$F,"*"&amp;F$1)</f>
        <v>251</v>
      </c>
      <c r="G51" s="5">
        <f>SUMIFS(raw!$C:$C,raw!$A:$A,$B51,raw!$F:$F,"*"&amp;G$1)</f>
        <v>198.5</v>
      </c>
      <c r="H51" s="5">
        <f>SUMIFS(raw!$C:$C,raw!$A:$A,$B51,raw!$F:$F,"*"&amp;H$1)</f>
        <v>197.5</v>
      </c>
      <c r="K51" s="6">
        <f>SUM(C51:H51)</f>
        <v>2237</v>
      </c>
    </row>
    <row r="52" spans="1:11" x14ac:dyDescent="0.7">
      <c r="A52" s="3">
        <v>51</v>
      </c>
      <c r="B52" s="4" t="s">
        <v>70</v>
      </c>
      <c r="C52" s="5">
        <f>SUMIFS(raw!$C:$C,raw!$A:$A,$B52,raw!$F:$F,"*"&amp;C$1)</f>
        <v>0</v>
      </c>
      <c r="D52" s="5">
        <f>SUMIFS(raw!$C:$C,raw!$A:$A,$B52,raw!$F:$F,"*"&amp;D$1)</f>
        <v>0</v>
      </c>
      <c r="E52" s="5">
        <f>SUMIFS(raw!$C:$C,raw!$A:$A,$B52,raw!$F:$F,"*"&amp;E$1)</f>
        <v>0</v>
      </c>
      <c r="F52" s="5">
        <f>SUMIFS(raw!$C:$C,raw!$A:$A,$B52,raw!$F:$F,"*"&amp;F$1)</f>
        <v>0</v>
      </c>
      <c r="G52" s="5">
        <f>SUMIFS(raw!$C:$C,raw!$A:$A,$B52,raw!$F:$F,"*"&amp;G$1)</f>
        <v>0</v>
      </c>
      <c r="H52" s="5">
        <f>SUMIFS(raw!$C:$C,raw!$A:$A,$B52,raw!$F:$F,"*"&amp;H$1)</f>
        <v>0</v>
      </c>
      <c r="K52" s="6">
        <f>SUM(C52:H52)</f>
        <v>0</v>
      </c>
    </row>
    <row r="53" spans="1:11" x14ac:dyDescent="0.7">
      <c r="A53" s="3">
        <v>52</v>
      </c>
      <c r="B53" s="4" t="s">
        <v>71</v>
      </c>
      <c r="C53" s="5">
        <f>SUMIFS(raw!$C:$C,raw!$A:$A,$B53,raw!$F:$F,"*"&amp;C$1)</f>
        <v>0</v>
      </c>
      <c r="D53" s="5">
        <f>SUMIFS(raw!$C:$C,raw!$A:$A,$B53,raw!$F:$F,"*"&amp;D$1)</f>
        <v>0</v>
      </c>
      <c r="E53" s="5">
        <f>SUMIFS(raw!$C:$C,raw!$A:$A,$B53,raw!$F:$F,"*"&amp;E$1)</f>
        <v>0</v>
      </c>
      <c r="F53" s="5">
        <f>SUMIFS(raw!$C:$C,raw!$A:$A,$B53,raw!$F:$F,"*"&amp;F$1)</f>
        <v>0</v>
      </c>
      <c r="G53" s="5">
        <f>SUMIFS(raw!$C:$C,raw!$A:$A,$B53,raw!$F:$F,"*"&amp;G$1)</f>
        <v>0</v>
      </c>
      <c r="H53" s="5">
        <f>SUMIFS(raw!$C:$C,raw!$A:$A,$B53,raw!$F:$F,"*"&amp;H$1)</f>
        <v>0</v>
      </c>
      <c r="K53" s="6">
        <f>SUM(C53:H53)</f>
        <v>0</v>
      </c>
    </row>
    <row r="54" spans="1:11" x14ac:dyDescent="0.7">
      <c r="A54" s="3">
        <v>53</v>
      </c>
      <c r="B54" s="4" t="s">
        <v>72</v>
      </c>
      <c r="C54" s="5">
        <f>SUMIFS(raw!$C:$C,raw!$A:$A,$B54,raw!$F:$F,"*"&amp;C$1)</f>
        <v>0</v>
      </c>
      <c r="D54" s="5">
        <f>SUMIFS(raw!$C:$C,raw!$A:$A,$B54,raw!$F:$F,"*"&amp;D$1)</f>
        <v>0</v>
      </c>
      <c r="E54" s="5">
        <f>SUMIFS(raw!$C:$C,raw!$A:$A,$B54,raw!$F:$F,"*"&amp;E$1)</f>
        <v>0</v>
      </c>
      <c r="F54" s="5">
        <f>SUMIFS(raw!$C:$C,raw!$A:$A,$B54,raw!$F:$F,"*"&amp;F$1)</f>
        <v>0</v>
      </c>
      <c r="G54" s="5">
        <f>SUMIFS(raw!$C:$C,raw!$A:$A,$B54,raw!$F:$F,"*"&amp;G$1)</f>
        <v>0</v>
      </c>
      <c r="H54" s="5">
        <f>SUMIFS(raw!$C:$C,raw!$A:$A,$B54,raw!$F:$F,"*"&amp;H$1)</f>
        <v>0</v>
      </c>
      <c r="K54" s="6">
        <f>SUM(C54:H54)</f>
        <v>0</v>
      </c>
    </row>
    <row r="55" spans="1:11" x14ac:dyDescent="0.7">
      <c r="A55" s="3">
        <v>54</v>
      </c>
      <c r="B55" s="4" t="s">
        <v>25</v>
      </c>
      <c r="C55" s="5">
        <f>SUMIFS(raw!$C:$C,raw!$A:$A,$B55,raw!$F:$F,"*"&amp;C$1)</f>
        <v>0.5</v>
      </c>
      <c r="D55" s="5">
        <f>SUMIFS(raw!$C:$C,raw!$A:$A,$B55,raw!$F:$F,"*"&amp;D$1)</f>
        <v>2.5</v>
      </c>
      <c r="E55" s="5">
        <f>SUMIFS(raw!$C:$C,raw!$A:$A,$B55,raw!$F:$F,"*"&amp;E$1)</f>
        <v>0</v>
      </c>
      <c r="F55" s="5">
        <f>SUMIFS(raw!$C:$C,raw!$A:$A,$B55,raw!$F:$F,"*"&amp;F$1)</f>
        <v>0</v>
      </c>
      <c r="G55" s="5">
        <f>SUMIFS(raw!$C:$C,raw!$A:$A,$B55,raw!$F:$F,"*"&amp;G$1)</f>
        <v>0</v>
      </c>
      <c r="H55" s="5">
        <f>SUMIFS(raw!$C:$C,raw!$A:$A,$B55,raw!$F:$F,"*"&amp;H$1)</f>
        <v>1</v>
      </c>
      <c r="K55" s="6">
        <f>SUM(C55:H55)</f>
        <v>4</v>
      </c>
    </row>
    <row r="56" spans="1:11" x14ac:dyDescent="0.7">
      <c r="A56" s="3">
        <v>55</v>
      </c>
      <c r="B56" s="4" t="s">
        <v>24</v>
      </c>
      <c r="C56" s="5">
        <f>SUMIFS(raw!$C:$C,raw!$A:$A,$B56,raw!$F:$F,"*"&amp;C$1)</f>
        <v>0</v>
      </c>
      <c r="D56" s="5">
        <f>SUMIFS(raw!$C:$C,raw!$A:$A,$B56,raw!$F:$F,"*"&amp;D$1)</f>
        <v>0</v>
      </c>
      <c r="E56" s="5">
        <f>SUMIFS(raw!$C:$C,raw!$A:$A,$B56,raw!$F:$F,"*"&amp;E$1)</f>
        <v>0</v>
      </c>
      <c r="F56" s="5">
        <f>SUMIFS(raw!$C:$C,raw!$A:$A,$B56,raw!$F:$F,"*"&amp;F$1)</f>
        <v>0</v>
      </c>
      <c r="G56" s="5">
        <f>SUMIFS(raw!$C:$C,raw!$A:$A,$B56,raw!$F:$F,"*"&amp;G$1)</f>
        <v>0</v>
      </c>
      <c r="H56" s="5">
        <f>SUMIFS(raw!$C:$C,raw!$A:$A,$B56,raw!$F:$F,"*"&amp;H$1)</f>
        <v>0</v>
      </c>
      <c r="K56" s="6">
        <f>SUM(C56:H56)</f>
        <v>0</v>
      </c>
    </row>
    <row r="57" spans="1:11" x14ac:dyDescent="0.7">
      <c r="A57" s="3">
        <v>56</v>
      </c>
      <c r="B57" s="4" t="s">
        <v>7</v>
      </c>
      <c r="C57" s="5">
        <f>SUMIFS(raw!$C:$C,raw!$A:$A,$B57,raw!$F:$F,"*"&amp;C$1)</f>
        <v>0</v>
      </c>
      <c r="D57" s="5">
        <f>SUMIFS(raw!$C:$C,raw!$A:$A,$B57,raw!$F:$F,"*"&amp;D$1)</f>
        <v>0</v>
      </c>
      <c r="E57" s="5">
        <f>SUMIFS(raw!$C:$C,raw!$A:$A,$B57,raw!$F:$F,"*"&amp;E$1)</f>
        <v>0</v>
      </c>
      <c r="F57" s="5">
        <f>SUMIFS(raw!$C:$C,raw!$A:$A,$B57,raw!$F:$F,"*"&amp;F$1)</f>
        <v>0</v>
      </c>
      <c r="G57" s="5">
        <f>SUMIFS(raw!$C:$C,raw!$A:$A,$B57,raw!$F:$F,"*"&amp;G$1)</f>
        <v>0</v>
      </c>
      <c r="H57" s="5">
        <f>SUMIFS(raw!$C:$C,raw!$A:$A,$B57,raw!$F:$F,"*"&amp;H$1)</f>
        <v>0</v>
      </c>
      <c r="K57" s="6">
        <f>SUM(C57:H57)</f>
        <v>0</v>
      </c>
    </row>
    <row r="58" spans="1:11" x14ac:dyDescent="0.7">
      <c r="A58" s="3">
        <v>57</v>
      </c>
      <c r="B58" s="4" t="s">
        <v>73</v>
      </c>
      <c r="C58" s="5">
        <f>SUMIFS(raw!$C:$C,raw!$A:$A,$B58,raw!$F:$F,"*"&amp;C$1)</f>
        <v>0</v>
      </c>
      <c r="D58" s="5">
        <f>SUMIFS(raw!$C:$C,raw!$A:$A,$B58,raw!$F:$F,"*"&amp;D$1)</f>
        <v>0</v>
      </c>
      <c r="E58" s="5">
        <f>SUMIFS(raw!$C:$C,raw!$A:$A,$B58,raw!$F:$F,"*"&amp;E$1)</f>
        <v>0</v>
      </c>
      <c r="F58" s="5">
        <f>SUMIFS(raw!$C:$C,raw!$A:$A,$B58,raw!$F:$F,"*"&amp;F$1)</f>
        <v>0</v>
      </c>
      <c r="G58" s="5">
        <f>SUMIFS(raw!$C:$C,raw!$A:$A,$B58,raw!$F:$F,"*"&amp;G$1)</f>
        <v>0</v>
      </c>
      <c r="H58" s="5">
        <f>SUMIFS(raw!$C:$C,raw!$A:$A,$B58,raw!$F:$F,"*"&amp;H$1)</f>
        <v>0</v>
      </c>
      <c r="K58" s="6">
        <f>SUM(C58:H58)</f>
        <v>0</v>
      </c>
    </row>
    <row r="59" spans="1:11" x14ac:dyDescent="0.7">
      <c r="A59" s="3">
        <v>58</v>
      </c>
      <c r="B59" s="4" t="s">
        <v>74</v>
      </c>
      <c r="C59" s="5">
        <f>SUMIFS(raw!$C:$C,raw!$A:$A,$B59,raw!$F:$F,"*"&amp;C$1)</f>
        <v>0</v>
      </c>
      <c r="D59" s="5">
        <f>SUMIFS(raw!$C:$C,raw!$A:$A,$B59,raw!$F:$F,"*"&amp;D$1)</f>
        <v>0</v>
      </c>
      <c r="E59" s="5">
        <f>SUMIFS(raw!$C:$C,raw!$A:$A,$B59,raw!$F:$F,"*"&amp;E$1)</f>
        <v>0</v>
      </c>
      <c r="F59" s="5">
        <f>SUMIFS(raw!$C:$C,raw!$A:$A,$B59,raw!$F:$F,"*"&amp;F$1)</f>
        <v>0</v>
      </c>
      <c r="G59" s="5">
        <f>SUMIFS(raw!$C:$C,raw!$A:$A,$B59,raw!$F:$F,"*"&amp;G$1)</f>
        <v>0</v>
      </c>
      <c r="H59" s="5">
        <f>SUMIFS(raw!$C:$C,raw!$A:$A,$B59,raw!$F:$F,"*"&amp;H$1)</f>
        <v>0</v>
      </c>
      <c r="K59" s="6">
        <f>SUM(C59:H59)</f>
        <v>0</v>
      </c>
    </row>
    <row r="60" spans="1:11" x14ac:dyDescent="0.7">
      <c r="A60" s="3">
        <v>59</v>
      </c>
      <c r="B60" s="4" t="s">
        <v>75</v>
      </c>
      <c r="C60" s="5">
        <f>SUMIFS(raw!$C:$C,raw!$A:$A,$B60,raw!$F:$F,"*"&amp;C$1)</f>
        <v>0</v>
      </c>
      <c r="D60" s="5">
        <f>SUMIFS(raw!$C:$C,raw!$A:$A,$B60,raw!$F:$F,"*"&amp;D$1)</f>
        <v>0</v>
      </c>
      <c r="E60" s="5">
        <f>SUMIFS(raw!$C:$C,raw!$A:$A,$B60,raw!$F:$F,"*"&amp;E$1)</f>
        <v>0</v>
      </c>
      <c r="F60" s="5">
        <f>SUMIFS(raw!$C:$C,raw!$A:$A,$B60,raw!$F:$F,"*"&amp;F$1)</f>
        <v>0</v>
      </c>
      <c r="G60" s="5">
        <f>SUMIFS(raw!$C:$C,raw!$A:$A,$B60,raw!$F:$F,"*"&amp;G$1)</f>
        <v>0</v>
      </c>
      <c r="H60" s="5">
        <f>SUMIFS(raw!$C:$C,raw!$A:$A,$B60,raw!$F:$F,"*"&amp;H$1)</f>
        <v>0</v>
      </c>
      <c r="K60" s="6">
        <f>SUM(C60:H60)</f>
        <v>0</v>
      </c>
    </row>
    <row r="61" spans="1:11" x14ac:dyDescent="0.7">
      <c r="A61" s="3">
        <v>60</v>
      </c>
      <c r="B61" s="4" t="s">
        <v>76</v>
      </c>
      <c r="C61" s="5">
        <f>SUMIFS(raw!$C:$C,raw!$A:$A,$B61,raw!$F:$F,"*"&amp;C$1)</f>
        <v>0</v>
      </c>
      <c r="D61" s="5">
        <f>SUMIFS(raw!$C:$C,raw!$A:$A,$B61,raw!$F:$F,"*"&amp;D$1)</f>
        <v>0</v>
      </c>
      <c r="E61" s="5">
        <f>SUMIFS(raw!$C:$C,raw!$A:$A,$B61,raw!$F:$F,"*"&amp;E$1)</f>
        <v>0</v>
      </c>
      <c r="F61" s="5">
        <f>SUMIFS(raw!$C:$C,raw!$A:$A,$B61,raw!$F:$F,"*"&amp;F$1)</f>
        <v>0</v>
      </c>
      <c r="G61" s="5">
        <f>SUMIFS(raw!$C:$C,raw!$A:$A,$B61,raw!$F:$F,"*"&amp;G$1)</f>
        <v>0</v>
      </c>
      <c r="H61" s="5">
        <f>SUMIFS(raw!$C:$C,raw!$A:$A,$B61,raw!$F:$F,"*"&amp;H$1)</f>
        <v>0</v>
      </c>
      <c r="K61" s="6">
        <f>SUM(C61:H61)</f>
        <v>0</v>
      </c>
    </row>
    <row r="62" spans="1:11" x14ac:dyDescent="0.7">
      <c r="A62" s="3">
        <v>61</v>
      </c>
      <c r="B62" s="4" t="s">
        <v>77</v>
      </c>
      <c r="C62" s="5">
        <f>SUMIFS(raw!$C:$C,raw!$A:$A,$B62,raw!$F:$F,"*"&amp;C$1)</f>
        <v>0</v>
      </c>
      <c r="D62" s="5">
        <f>SUMIFS(raw!$C:$C,raw!$A:$A,$B62,raw!$F:$F,"*"&amp;D$1)</f>
        <v>0</v>
      </c>
      <c r="E62" s="5">
        <f>SUMIFS(raw!$C:$C,raw!$A:$A,$B62,raw!$F:$F,"*"&amp;E$1)</f>
        <v>0</v>
      </c>
      <c r="F62" s="5">
        <f>SUMIFS(raw!$C:$C,raw!$A:$A,$B62,raw!$F:$F,"*"&amp;F$1)</f>
        <v>0</v>
      </c>
      <c r="G62" s="5">
        <f>SUMIFS(raw!$C:$C,raw!$A:$A,$B62,raw!$F:$F,"*"&amp;G$1)</f>
        <v>0</v>
      </c>
      <c r="H62" s="5">
        <f>SUMIFS(raw!$C:$C,raw!$A:$A,$B62,raw!$F:$F,"*"&amp;H$1)</f>
        <v>0</v>
      </c>
      <c r="K62" s="6">
        <f>SUM(C62:H62)</f>
        <v>0</v>
      </c>
    </row>
    <row r="63" spans="1:11" x14ac:dyDescent="0.7">
      <c r="A63" s="3">
        <v>62</v>
      </c>
      <c r="B63" s="4" t="s">
        <v>78</v>
      </c>
      <c r="C63" s="5">
        <f>SUMIFS(raw!$C:$C,raw!$A:$A,$B63,raw!$F:$F,"*"&amp;C$1)</f>
        <v>0</v>
      </c>
      <c r="D63" s="5">
        <f>SUMIFS(raw!$C:$C,raw!$A:$A,$B63,raw!$F:$F,"*"&amp;D$1)</f>
        <v>0</v>
      </c>
      <c r="E63" s="5">
        <f>SUMIFS(raw!$C:$C,raw!$A:$A,$B63,raw!$F:$F,"*"&amp;E$1)</f>
        <v>0</v>
      </c>
      <c r="F63" s="5">
        <f>SUMIFS(raw!$C:$C,raw!$A:$A,$B63,raw!$F:$F,"*"&amp;F$1)</f>
        <v>0</v>
      </c>
      <c r="G63" s="5">
        <f>SUMIFS(raw!$C:$C,raw!$A:$A,$B63,raw!$F:$F,"*"&amp;G$1)</f>
        <v>0</v>
      </c>
      <c r="H63" s="5">
        <f>SUMIFS(raw!$C:$C,raw!$A:$A,$B63,raw!$F:$F,"*"&amp;H$1)</f>
        <v>0</v>
      </c>
      <c r="K63" s="6">
        <f>SUM(C63:H63)</f>
        <v>0</v>
      </c>
    </row>
    <row r="64" spans="1:11" x14ac:dyDescent="0.7">
      <c r="A64" s="3">
        <v>63</v>
      </c>
      <c r="B64" s="4" t="s">
        <v>79</v>
      </c>
      <c r="C64" s="5">
        <f>SUMIFS(raw!$C:$C,raw!$A:$A,$B64,raw!$F:$F,"*"&amp;C$1)</f>
        <v>0</v>
      </c>
      <c r="D64" s="5">
        <f>SUMIFS(raw!$C:$C,raw!$A:$A,$B64,raw!$F:$F,"*"&amp;D$1)</f>
        <v>0</v>
      </c>
      <c r="E64" s="5">
        <f>SUMIFS(raw!$C:$C,raw!$A:$A,$B64,raw!$F:$F,"*"&amp;E$1)</f>
        <v>0</v>
      </c>
      <c r="F64" s="5">
        <f>SUMIFS(raw!$C:$C,raw!$A:$A,$B64,raw!$F:$F,"*"&amp;F$1)</f>
        <v>0</v>
      </c>
      <c r="G64" s="5">
        <f>SUMIFS(raw!$C:$C,raw!$A:$A,$B64,raw!$F:$F,"*"&amp;G$1)</f>
        <v>0</v>
      </c>
      <c r="H64" s="5">
        <f>SUMIFS(raw!$C:$C,raw!$A:$A,$B64,raw!$F:$F,"*"&amp;H$1)</f>
        <v>0</v>
      </c>
      <c r="K64" s="6">
        <f>SUM(C64:H64)</f>
        <v>0</v>
      </c>
    </row>
    <row r="65" spans="1:11" x14ac:dyDescent="0.7">
      <c r="A65" s="3">
        <v>64</v>
      </c>
      <c r="B65" s="4" t="s">
        <v>80</v>
      </c>
      <c r="C65" s="5">
        <f>SUMIFS(raw!$C:$C,raw!$A:$A,$B65,raw!$F:$F,"*"&amp;C$1)</f>
        <v>0</v>
      </c>
      <c r="D65" s="5">
        <f>SUMIFS(raw!$C:$C,raw!$A:$A,$B65,raw!$F:$F,"*"&amp;D$1)</f>
        <v>0</v>
      </c>
      <c r="E65" s="5">
        <f>SUMIFS(raw!$C:$C,raw!$A:$A,$B65,raw!$F:$F,"*"&amp;E$1)</f>
        <v>0</v>
      </c>
      <c r="F65" s="5">
        <f>SUMIFS(raw!$C:$C,raw!$A:$A,$B65,raw!$F:$F,"*"&amp;F$1)</f>
        <v>0</v>
      </c>
      <c r="G65" s="5">
        <f>SUMIFS(raw!$C:$C,raw!$A:$A,$B65,raw!$F:$F,"*"&amp;G$1)</f>
        <v>0</v>
      </c>
      <c r="H65" s="5">
        <f>SUMIFS(raw!$C:$C,raw!$A:$A,$B65,raw!$F:$F,"*"&amp;H$1)</f>
        <v>0</v>
      </c>
      <c r="K65" s="6">
        <f>SUM(C65:H65)</f>
        <v>0</v>
      </c>
    </row>
    <row r="66" spans="1:11" x14ac:dyDescent="0.7">
      <c r="A66" s="3">
        <v>65</v>
      </c>
      <c r="B66" s="4" t="s">
        <v>81</v>
      </c>
      <c r="C66" s="5">
        <f>SUMIFS(raw!$C:$C,raw!$A:$A,$B66,raw!$F:$F,"*"&amp;C$1)</f>
        <v>0</v>
      </c>
      <c r="D66" s="5">
        <f>SUMIFS(raw!$C:$C,raw!$A:$A,$B66,raw!$F:$F,"*"&amp;D$1)</f>
        <v>0</v>
      </c>
      <c r="E66" s="5">
        <f>SUMIFS(raw!$C:$C,raw!$A:$A,$B66,raw!$F:$F,"*"&amp;E$1)</f>
        <v>0</v>
      </c>
      <c r="F66" s="5">
        <f>SUMIFS(raw!$C:$C,raw!$A:$A,$B66,raw!$F:$F,"*"&amp;F$1)</f>
        <v>0</v>
      </c>
      <c r="G66" s="5">
        <f>SUMIFS(raw!$C:$C,raw!$A:$A,$B66,raw!$F:$F,"*"&amp;G$1)</f>
        <v>0</v>
      </c>
      <c r="H66" s="5">
        <f>SUMIFS(raw!$C:$C,raw!$A:$A,$B66,raw!$F:$F,"*"&amp;H$1)</f>
        <v>0</v>
      </c>
      <c r="K66" s="6">
        <f>SUM(C66:H66)</f>
        <v>0</v>
      </c>
    </row>
    <row r="67" spans="1:11" x14ac:dyDescent="0.7">
      <c r="A67" s="3">
        <v>66</v>
      </c>
      <c r="B67" s="4" t="s">
        <v>82</v>
      </c>
      <c r="C67" s="5">
        <f>SUMIFS(raw!$C:$C,raw!$A:$A,$B67,raw!$F:$F,"*"&amp;C$1)</f>
        <v>0</v>
      </c>
      <c r="D67" s="5">
        <f>SUMIFS(raw!$C:$C,raw!$A:$A,$B67,raw!$F:$F,"*"&amp;D$1)</f>
        <v>0</v>
      </c>
      <c r="E67" s="5">
        <f>SUMIFS(raw!$C:$C,raw!$A:$A,$B67,raw!$F:$F,"*"&amp;E$1)</f>
        <v>0</v>
      </c>
      <c r="F67" s="5">
        <f>SUMIFS(raw!$C:$C,raw!$A:$A,$B67,raw!$F:$F,"*"&amp;F$1)</f>
        <v>0</v>
      </c>
      <c r="G67" s="5">
        <f>SUMIFS(raw!$C:$C,raw!$A:$A,$B67,raw!$F:$F,"*"&amp;G$1)</f>
        <v>0</v>
      </c>
      <c r="H67" s="5">
        <f>SUMIFS(raw!$C:$C,raw!$A:$A,$B67,raw!$F:$F,"*"&amp;H$1)</f>
        <v>0</v>
      </c>
      <c r="K67" s="6">
        <f>SUM(C67:H67)</f>
        <v>0</v>
      </c>
    </row>
    <row r="68" spans="1:11" x14ac:dyDescent="0.7">
      <c r="A68" s="3">
        <v>67</v>
      </c>
      <c r="B68" s="4" t="s">
        <v>83</v>
      </c>
      <c r="C68" s="5">
        <f>SUMIFS(raw!$C:$C,raw!$A:$A,$B68,raw!$F:$F,"*"&amp;C$1)</f>
        <v>0</v>
      </c>
      <c r="D68" s="5">
        <f>SUMIFS(raw!$C:$C,raw!$A:$A,$B68,raw!$F:$F,"*"&amp;D$1)</f>
        <v>0</v>
      </c>
      <c r="E68" s="5">
        <f>SUMIFS(raw!$C:$C,raw!$A:$A,$B68,raw!$F:$F,"*"&amp;E$1)</f>
        <v>0</v>
      </c>
      <c r="F68" s="5">
        <f>SUMIFS(raw!$C:$C,raw!$A:$A,$B68,raw!$F:$F,"*"&amp;F$1)</f>
        <v>0</v>
      </c>
      <c r="G68" s="5">
        <f>SUMIFS(raw!$C:$C,raw!$A:$A,$B68,raw!$F:$F,"*"&amp;G$1)</f>
        <v>0</v>
      </c>
      <c r="H68" s="5">
        <f>SUMIFS(raw!$C:$C,raw!$A:$A,$B68,raw!$F:$F,"*"&amp;H$1)</f>
        <v>0</v>
      </c>
      <c r="K68" s="6">
        <f>SUM(C68:H68)</f>
        <v>0</v>
      </c>
    </row>
    <row r="69" spans="1:11" x14ac:dyDescent="0.7">
      <c r="A69" s="3">
        <v>68</v>
      </c>
      <c r="B69" s="4" t="s">
        <v>84</v>
      </c>
      <c r="C69" s="5">
        <f>SUMIFS(raw!$C:$C,raw!$A:$A,$B69,raw!$F:$F,"*"&amp;C$1)</f>
        <v>0</v>
      </c>
      <c r="D69" s="5">
        <f>SUMIFS(raw!$C:$C,raw!$A:$A,$B69,raw!$F:$F,"*"&amp;D$1)</f>
        <v>0</v>
      </c>
      <c r="E69" s="5">
        <f>SUMIFS(raw!$C:$C,raw!$A:$A,$B69,raw!$F:$F,"*"&amp;E$1)</f>
        <v>0</v>
      </c>
      <c r="F69" s="5">
        <f>SUMIFS(raw!$C:$C,raw!$A:$A,$B69,raw!$F:$F,"*"&amp;F$1)</f>
        <v>0</v>
      </c>
      <c r="G69" s="5">
        <f>SUMIFS(raw!$C:$C,raw!$A:$A,$B69,raw!$F:$F,"*"&amp;G$1)</f>
        <v>0</v>
      </c>
      <c r="H69" s="5">
        <f>SUMIFS(raw!$C:$C,raw!$A:$A,$B69,raw!$F:$F,"*"&amp;H$1)</f>
        <v>0</v>
      </c>
      <c r="K69" s="6">
        <f>SUM(C69:H69)</f>
        <v>0</v>
      </c>
    </row>
    <row r="70" spans="1:11" x14ac:dyDescent="0.7">
      <c r="A70" s="3">
        <v>69</v>
      </c>
      <c r="B70" s="4" t="s">
        <v>85</v>
      </c>
      <c r="C70" s="5">
        <f>SUMIFS(raw!$C:$C,raw!$A:$A,$B70,raw!$F:$F,"*"&amp;C$1)</f>
        <v>0</v>
      </c>
      <c r="D70" s="5">
        <f>SUMIFS(raw!$C:$C,raw!$A:$A,$B70,raw!$F:$F,"*"&amp;D$1)</f>
        <v>0</v>
      </c>
      <c r="E70" s="5">
        <f>SUMIFS(raw!$C:$C,raw!$A:$A,$B70,raw!$F:$F,"*"&amp;E$1)</f>
        <v>0</v>
      </c>
      <c r="F70" s="5">
        <f>SUMIFS(raw!$C:$C,raw!$A:$A,$B70,raw!$F:$F,"*"&amp;F$1)</f>
        <v>0</v>
      </c>
      <c r="G70" s="5">
        <f>SUMIFS(raw!$C:$C,raw!$A:$A,$B70,raw!$F:$F,"*"&amp;G$1)</f>
        <v>0</v>
      </c>
      <c r="H70" s="5">
        <f>SUMIFS(raw!$C:$C,raw!$A:$A,$B70,raw!$F:$F,"*"&amp;H$1)</f>
        <v>0</v>
      </c>
      <c r="K70" s="6">
        <f>SUM(C70:H70)</f>
        <v>0</v>
      </c>
    </row>
    <row r="71" spans="1:11" x14ac:dyDescent="0.7">
      <c r="A71" s="3">
        <v>70</v>
      </c>
      <c r="B71" s="4" t="s">
        <v>86</v>
      </c>
      <c r="C71" s="5">
        <f>SUMIFS(raw!$C:$C,raw!$A:$A,$B71,raw!$F:$F,"*"&amp;C$1)</f>
        <v>0</v>
      </c>
      <c r="D71" s="5">
        <f>SUMIFS(raw!$C:$C,raw!$A:$A,$B71,raw!$F:$F,"*"&amp;D$1)</f>
        <v>0</v>
      </c>
      <c r="E71" s="5">
        <f>SUMIFS(raw!$C:$C,raw!$A:$A,$B71,raw!$F:$F,"*"&amp;E$1)</f>
        <v>0</v>
      </c>
      <c r="F71" s="5">
        <f>SUMIFS(raw!$C:$C,raw!$A:$A,$B71,raw!$F:$F,"*"&amp;F$1)</f>
        <v>0</v>
      </c>
      <c r="G71" s="5">
        <f>SUMIFS(raw!$C:$C,raw!$A:$A,$B71,raw!$F:$F,"*"&amp;G$1)</f>
        <v>0</v>
      </c>
      <c r="H71" s="5">
        <f>SUMIFS(raw!$C:$C,raw!$A:$A,$B71,raw!$F:$F,"*"&amp;H$1)</f>
        <v>0</v>
      </c>
      <c r="K71" s="6">
        <f>SUM(C71:H71)</f>
        <v>0</v>
      </c>
    </row>
    <row r="72" spans="1:11" x14ac:dyDescent="0.7">
      <c r="A72" s="3">
        <v>71</v>
      </c>
      <c r="B72" s="4" t="s">
        <v>87</v>
      </c>
      <c r="C72" s="5">
        <f>SUMIFS(raw!$C:$C,raw!$A:$A,$B72,raw!$F:$F,"*"&amp;C$1)</f>
        <v>0</v>
      </c>
      <c r="D72" s="5">
        <f>SUMIFS(raw!$C:$C,raw!$A:$A,$B72,raw!$F:$F,"*"&amp;D$1)</f>
        <v>0</v>
      </c>
      <c r="E72" s="5">
        <f>SUMIFS(raw!$C:$C,raw!$A:$A,$B72,raw!$F:$F,"*"&amp;E$1)</f>
        <v>0</v>
      </c>
      <c r="F72" s="5">
        <f>SUMIFS(raw!$C:$C,raw!$A:$A,$B72,raw!$F:$F,"*"&amp;F$1)</f>
        <v>0</v>
      </c>
      <c r="G72" s="5">
        <f>SUMIFS(raw!$C:$C,raw!$A:$A,$B72,raw!$F:$F,"*"&amp;G$1)</f>
        <v>0</v>
      </c>
      <c r="H72" s="5">
        <f>SUMIFS(raw!$C:$C,raw!$A:$A,$B72,raw!$F:$F,"*"&amp;H$1)</f>
        <v>0</v>
      </c>
      <c r="K72" s="6">
        <f>SUM(C72:H72)</f>
        <v>0</v>
      </c>
    </row>
    <row r="73" spans="1:11" x14ac:dyDescent="0.7">
      <c r="A73" s="3">
        <v>72</v>
      </c>
      <c r="B73" s="4" t="s">
        <v>88</v>
      </c>
      <c r="C73" s="5">
        <f>SUMIFS(raw!$C:$C,raw!$A:$A,$B73,raw!$F:$F,"*"&amp;C$1)</f>
        <v>0</v>
      </c>
      <c r="D73" s="5">
        <f>SUMIFS(raw!$C:$C,raw!$A:$A,$B73,raw!$F:$F,"*"&amp;D$1)</f>
        <v>0</v>
      </c>
      <c r="E73" s="5">
        <f>SUMIFS(raw!$C:$C,raw!$A:$A,$B73,raw!$F:$F,"*"&amp;E$1)</f>
        <v>0</v>
      </c>
      <c r="F73" s="5">
        <f>SUMIFS(raw!$C:$C,raw!$A:$A,$B73,raw!$F:$F,"*"&amp;F$1)</f>
        <v>0</v>
      </c>
      <c r="G73" s="5">
        <f>SUMIFS(raw!$C:$C,raw!$A:$A,$B73,raw!$F:$F,"*"&amp;G$1)</f>
        <v>0</v>
      </c>
      <c r="H73" s="5">
        <f>SUMIFS(raw!$C:$C,raw!$A:$A,$B73,raw!$F:$F,"*"&amp;H$1)</f>
        <v>0</v>
      </c>
      <c r="K73" s="6">
        <f>SUM(C73:H73)</f>
        <v>0</v>
      </c>
    </row>
    <row r="74" spans="1:11" x14ac:dyDescent="0.7">
      <c r="A74" s="3">
        <v>73</v>
      </c>
      <c r="B74" s="4" t="s">
        <v>89</v>
      </c>
      <c r="C74" s="5">
        <f>SUMIFS(raw!$C:$C,raw!$A:$A,$B74,raw!$F:$F,"*"&amp;C$1)</f>
        <v>0</v>
      </c>
      <c r="D74" s="5">
        <f>SUMIFS(raw!$C:$C,raw!$A:$A,$B74,raw!$F:$F,"*"&amp;D$1)</f>
        <v>0</v>
      </c>
      <c r="E74" s="5">
        <f>SUMIFS(raw!$C:$C,raw!$A:$A,$B74,raw!$F:$F,"*"&amp;E$1)</f>
        <v>0</v>
      </c>
      <c r="F74" s="5">
        <f>SUMIFS(raw!$C:$C,raw!$A:$A,$B74,raw!$F:$F,"*"&amp;F$1)</f>
        <v>0</v>
      </c>
      <c r="G74" s="5">
        <f>SUMIFS(raw!$C:$C,raw!$A:$A,$B74,raw!$F:$F,"*"&amp;G$1)</f>
        <v>0</v>
      </c>
      <c r="H74" s="5">
        <f>SUMIFS(raw!$C:$C,raw!$A:$A,$B74,raw!$F:$F,"*"&amp;H$1)</f>
        <v>0</v>
      </c>
      <c r="K74" s="6">
        <f>SUM(C74:H74)</f>
        <v>0</v>
      </c>
    </row>
    <row r="75" spans="1:11" x14ac:dyDescent="0.7">
      <c r="A75" s="3">
        <v>74</v>
      </c>
      <c r="B75" s="4" t="s">
        <v>73</v>
      </c>
      <c r="C75" s="5">
        <f>SUMIFS(raw!$C:$C,raw!$A:$A,$B75,raw!$F:$F,"*"&amp;C$1)</f>
        <v>0</v>
      </c>
      <c r="D75" s="5">
        <f>SUMIFS(raw!$C:$C,raw!$A:$A,$B75,raw!$F:$F,"*"&amp;D$1)</f>
        <v>0</v>
      </c>
      <c r="E75" s="5">
        <f>SUMIFS(raw!$C:$C,raw!$A:$A,$B75,raw!$F:$F,"*"&amp;E$1)</f>
        <v>0</v>
      </c>
      <c r="F75" s="5">
        <f>SUMIFS(raw!$C:$C,raw!$A:$A,$B75,raw!$F:$F,"*"&amp;F$1)</f>
        <v>0</v>
      </c>
      <c r="G75" s="5">
        <f>SUMIFS(raw!$C:$C,raw!$A:$A,$B75,raw!$F:$F,"*"&amp;G$1)</f>
        <v>0</v>
      </c>
      <c r="H75" s="5">
        <f>SUMIFS(raw!$C:$C,raw!$A:$A,$B75,raw!$F:$F,"*"&amp;H$1)</f>
        <v>0</v>
      </c>
      <c r="K75" s="6">
        <f>SUM(C75:H75)</f>
        <v>0</v>
      </c>
    </row>
    <row r="76" spans="1:11" x14ac:dyDescent="0.7">
      <c r="A76" s="3">
        <v>75</v>
      </c>
      <c r="B76" s="4" t="s">
        <v>90</v>
      </c>
      <c r="C76" s="5">
        <f>SUMIFS(raw!$C:$C,raw!$A:$A,$B76,raw!$F:$F,"*"&amp;C$1)</f>
        <v>165.5</v>
      </c>
      <c r="D76" s="5">
        <f>SUMIFS(raw!$C:$C,raw!$A:$A,$B76,raw!$F:$F,"*"&amp;D$1)</f>
        <v>366.5</v>
      </c>
      <c r="E76" s="5">
        <f>SUMIFS(raw!$C:$C,raw!$A:$A,$B76,raw!$F:$F,"*"&amp;E$1)</f>
        <v>108</v>
      </c>
      <c r="F76" s="5">
        <f>SUMIFS(raw!$C:$C,raw!$A:$A,$B76,raw!$F:$F,"*"&amp;F$1)</f>
        <v>166.5</v>
      </c>
      <c r="G76" s="5">
        <f>SUMIFS(raw!$C:$C,raw!$A:$A,$B76,raw!$F:$F,"*"&amp;G$1)</f>
        <v>312</v>
      </c>
      <c r="H76" s="5">
        <f>SUMIFS(raw!$C:$C,raw!$A:$A,$B76,raw!$F:$F,"*"&amp;H$1)</f>
        <v>170.5</v>
      </c>
      <c r="K76" s="6">
        <f>SUM(C76:H76)</f>
        <v>1289</v>
      </c>
    </row>
    <row r="77" spans="1:11" s="10" customFormat="1" x14ac:dyDescent="0.7">
      <c r="A77" s="8">
        <v>76</v>
      </c>
      <c r="B77" s="9" t="s">
        <v>5</v>
      </c>
      <c r="C77" s="5">
        <f>SUMIFS(raw!$C:$C,raw!$A:$A,$B77,raw!$F:$F,"*"&amp;C$1)</f>
        <v>36</v>
      </c>
      <c r="D77" s="5">
        <f>SUMIFS(raw!$C:$C,raw!$A:$A,$B77,raw!$F:$F,"*"&amp;D$1)</f>
        <v>122</v>
      </c>
      <c r="E77" s="5">
        <f>SUMIFS(raw!$C:$C,raw!$A:$A,$B77,raw!$F:$F,"*"&amp;E$1)</f>
        <v>1.5</v>
      </c>
      <c r="F77" s="5">
        <f>SUMIFS(raw!$C:$C,raw!$A:$A,$B77,raw!$F:$F,"*"&amp;F$1)</f>
        <v>116.5</v>
      </c>
      <c r="G77" s="5">
        <f>SUMIFS(raw!$C:$C,raw!$A:$A,$B77,raw!$F:$F,"*"&amp;G$1)</f>
        <v>11</v>
      </c>
      <c r="H77" s="5">
        <f>SUMIFS(raw!$C:$C,raw!$A:$A,$B77,raw!$F:$F,"*"&amp;H$1)</f>
        <v>38</v>
      </c>
      <c r="K77" s="6">
        <f>SUM(C77:H77)</f>
        <v>325</v>
      </c>
    </row>
    <row r="78" spans="1:11" x14ac:dyDescent="0.7">
      <c r="A78" s="3">
        <v>77</v>
      </c>
      <c r="B78" s="4" t="s">
        <v>9</v>
      </c>
      <c r="C78" s="5">
        <f>SUMIFS(raw!$C:$C,raw!$A:$A,$B78,raw!$F:$F,"*"&amp;C$1)</f>
        <v>85</v>
      </c>
      <c r="D78" s="5">
        <f>SUMIFS(raw!$C:$C,raw!$A:$A,$B78,raw!$F:$F,"*"&amp;D$1)</f>
        <v>164.5</v>
      </c>
      <c r="E78" s="5">
        <f>SUMIFS(raw!$C:$C,raw!$A:$A,$B78,raw!$F:$F,"*"&amp;E$1)</f>
        <v>76.5</v>
      </c>
      <c r="F78" s="5">
        <f>SUMIFS(raw!$C:$C,raw!$A:$A,$B78,raw!$F:$F,"*"&amp;F$1)</f>
        <v>224.5</v>
      </c>
      <c r="G78" s="5">
        <f>SUMIFS(raw!$C:$C,raw!$A:$A,$B78,raw!$F:$F,"*"&amp;G$1)</f>
        <v>275</v>
      </c>
      <c r="H78" s="5">
        <f>SUMIFS(raw!$C:$C,raw!$A:$A,$B78,raw!$F:$F,"*"&amp;H$1)</f>
        <v>160</v>
      </c>
      <c r="K78" s="6">
        <f>SUM(C78:H78)</f>
        <v>985.5</v>
      </c>
    </row>
    <row r="79" spans="1:11" x14ac:dyDescent="0.7">
      <c r="A79" s="3">
        <v>78</v>
      </c>
      <c r="B79" s="4" t="s">
        <v>21</v>
      </c>
      <c r="C79" s="5">
        <f>SUMIFS(raw!$C:$C,raw!$A:$A,$B79,raw!$F:$F,"*"&amp;C$1)</f>
        <v>214.5</v>
      </c>
      <c r="D79" s="5">
        <f>SUMIFS(raw!$C:$C,raw!$A:$A,$B79,raw!$F:$F,"*"&amp;D$1)</f>
        <v>183</v>
      </c>
      <c r="E79" s="5">
        <f>SUMIFS(raw!$C:$C,raw!$A:$A,$B79,raw!$F:$F,"*"&amp;E$1)</f>
        <v>132.5</v>
      </c>
      <c r="F79" s="5">
        <f>SUMIFS(raw!$C:$C,raw!$A:$A,$B79,raw!$F:$F,"*"&amp;F$1)</f>
        <v>235.5</v>
      </c>
      <c r="G79" s="5">
        <f>SUMIFS(raw!$C:$C,raw!$A:$A,$B79,raw!$F:$F,"*"&amp;G$1)</f>
        <v>177</v>
      </c>
      <c r="H79" s="5">
        <f>SUMIFS(raw!$C:$C,raw!$A:$A,$B79,raw!$F:$F,"*"&amp;H$1)</f>
        <v>87.5</v>
      </c>
      <c r="K79" s="6">
        <f>SUM(C79:H79)</f>
        <v>1030</v>
      </c>
    </row>
    <row r="80" spans="1:11" x14ac:dyDescent="0.7">
      <c r="A80" s="3">
        <v>79</v>
      </c>
      <c r="B80" s="4" t="s">
        <v>4</v>
      </c>
      <c r="C80" s="5">
        <f>SUMIFS(raw!$C:$C,raw!$A:$A,$B80,raw!$F:$F,"*"&amp;C$1)</f>
        <v>10.5</v>
      </c>
      <c r="D80" s="5">
        <f>SUMIFS(raw!$C:$C,raw!$A:$A,$B80,raw!$F:$F,"*"&amp;D$1)</f>
        <v>245.5</v>
      </c>
      <c r="E80" s="5">
        <f>SUMIFS(raw!$C:$C,raw!$A:$A,$B80,raw!$F:$F,"*"&amp;E$1)</f>
        <v>9</v>
      </c>
      <c r="F80" s="5">
        <f>SUMIFS(raw!$C:$C,raw!$A:$A,$B80,raw!$F:$F,"*"&amp;F$1)</f>
        <v>1431.5</v>
      </c>
      <c r="G80" s="5">
        <f>SUMIFS(raw!$C:$C,raw!$A:$A,$B80,raw!$F:$F,"*"&amp;G$1)</f>
        <v>100</v>
      </c>
      <c r="H80" s="5">
        <f>SUMIFS(raw!$C:$C,raw!$A:$A,$B80,raw!$F:$F,"*"&amp;H$1)</f>
        <v>192</v>
      </c>
      <c r="K80" s="6">
        <f>SUM(C80:H80)</f>
        <v>1988.5</v>
      </c>
    </row>
    <row r="81" spans="1:11" x14ac:dyDescent="0.7">
      <c r="A81" s="3">
        <v>80</v>
      </c>
      <c r="B81" s="4" t="s">
        <v>17</v>
      </c>
      <c r="C81" s="5">
        <f>SUMIFS(raw!$C:$C,raw!$A:$A,$B81,raw!$F:$F,"*"&amp;C$1)</f>
        <v>0</v>
      </c>
      <c r="D81" s="5">
        <f>SUMIFS(raw!$C:$C,raw!$A:$A,$B81,raw!$F:$F,"*"&amp;D$1)</f>
        <v>0</v>
      </c>
      <c r="E81" s="5">
        <f>SUMIFS(raw!$C:$C,raw!$A:$A,$B81,raw!$F:$F,"*"&amp;E$1)</f>
        <v>0</v>
      </c>
      <c r="F81" s="5">
        <f>SUMIFS(raw!$C:$C,raw!$A:$A,$B81,raw!$F:$F,"*"&amp;F$1)</f>
        <v>0</v>
      </c>
      <c r="G81" s="5">
        <f>SUMIFS(raw!$C:$C,raw!$A:$A,$B81,raw!$F:$F,"*"&amp;G$1)</f>
        <v>0</v>
      </c>
      <c r="H81" s="5">
        <f>SUMIFS(raw!$C:$C,raw!$A:$A,$B81,raw!$F:$F,"*"&amp;H$1)</f>
        <v>0</v>
      </c>
      <c r="K81" s="6">
        <f>SUM(C81:H81)</f>
        <v>0</v>
      </c>
    </row>
    <row r="82" spans="1:11" x14ac:dyDescent="0.7">
      <c r="A82" s="3"/>
      <c r="B82" s="4"/>
      <c r="C82" s="5">
        <f>SUM(C2:C81)</f>
        <v>23888</v>
      </c>
      <c r="D82" s="5">
        <f t="shared" ref="D82:H82" si="0">SUM(D2:D81)</f>
        <v>24937.5</v>
      </c>
      <c r="E82" s="5">
        <f t="shared" si="0"/>
        <v>8438</v>
      </c>
      <c r="F82" s="5">
        <f t="shared" si="0"/>
        <v>19438.5</v>
      </c>
      <c r="G82" s="5">
        <f t="shared" si="0"/>
        <v>6101.5</v>
      </c>
      <c r="H82" s="5">
        <f t="shared" si="0"/>
        <v>8399.5</v>
      </c>
      <c r="K82" s="6">
        <f>SUM(C82:H82)</f>
        <v>91203</v>
      </c>
    </row>
    <row r="83" spans="1:11" x14ac:dyDescent="0.7">
      <c r="C83" s="12"/>
      <c r="D83" s="12"/>
      <c r="E83" s="12"/>
      <c r="F83" s="12"/>
      <c r="G83" s="12"/>
      <c r="H83" s="12"/>
      <c r="K83" s="6"/>
    </row>
    <row r="84" spans="1:11" x14ac:dyDescent="0.7">
      <c r="K84" s="12">
        <f>SUM(C84:H84)</f>
        <v>0</v>
      </c>
    </row>
    <row r="85" spans="1:11" x14ac:dyDescent="0.7">
      <c r="C85" s="12"/>
      <c r="D85" s="12"/>
      <c r="E85" s="12"/>
      <c r="F85" s="12"/>
      <c r="G85" s="12"/>
      <c r="H85" s="12"/>
      <c r="K85" s="12">
        <f t="shared" ref="K85" si="1">K83-K84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391"/>
  <sheetViews>
    <sheetView zoomScale="85" zoomScaleNormal="85" workbookViewId="0">
      <selection activeCell="I18" sqref="I18"/>
    </sheetView>
  </sheetViews>
  <sheetFormatPr defaultColWidth="12.109375" defaultRowHeight="15" customHeight="1" x14ac:dyDescent="0.3"/>
  <cols>
    <col min="1" max="1" width="22" style="32" customWidth="1"/>
    <col min="2" max="2" width="34.6640625" style="32" customWidth="1"/>
    <col min="3" max="3" width="14.5546875" style="32" customWidth="1"/>
    <col min="4" max="4" width="18" style="32" customWidth="1"/>
    <col min="5" max="5" width="25.44140625" style="32" customWidth="1"/>
    <col min="6" max="6" width="37.6640625" style="32" customWidth="1"/>
    <col min="7" max="7" width="30.77734375" style="17" customWidth="1"/>
    <col min="8" max="8" width="28.109375" style="17" customWidth="1"/>
    <col min="9" max="9" width="19.44140625" style="17" customWidth="1"/>
    <col min="10" max="10" width="18.33203125" style="17" customWidth="1"/>
    <col min="11" max="16384" width="12.109375" style="17"/>
  </cols>
  <sheetData>
    <row r="1" spans="1:7" ht="15.75" customHeight="1" x14ac:dyDescent="0.3">
      <c r="A1" s="22" t="s">
        <v>0</v>
      </c>
      <c r="B1" s="28" t="s">
        <v>108</v>
      </c>
      <c r="C1" s="22" t="s">
        <v>1</v>
      </c>
      <c r="D1" s="22" t="s">
        <v>110</v>
      </c>
      <c r="E1" s="22" t="s">
        <v>2</v>
      </c>
      <c r="F1" s="22" t="s">
        <v>191</v>
      </c>
    </row>
    <row r="2" spans="1:7" ht="15.75" customHeight="1" x14ac:dyDescent="0.3">
      <c r="A2" s="25" t="s">
        <v>90</v>
      </c>
      <c r="B2" s="25" t="s">
        <v>117</v>
      </c>
      <c r="C2" s="23">
        <v>5</v>
      </c>
      <c r="D2" s="23">
        <v>4000</v>
      </c>
      <c r="E2" s="24">
        <v>20000</v>
      </c>
      <c r="F2" s="25" t="s">
        <v>192</v>
      </c>
      <c r="G2" s="17" t="str" cm="1">
        <f t="array" ref="G2:G9">_xlfn.UNIQUE(F:F)</f>
        <v>DocDescription</v>
      </c>
    </row>
    <row r="3" spans="1:7" ht="15.75" customHeight="1" x14ac:dyDescent="0.3">
      <c r="A3" s="28" t="s">
        <v>3</v>
      </c>
      <c r="B3" s="28" t="s">
        <v>146</v>
      </c>
      <c r="C3" s="26">
        <v>2735.5</v>
      </c>
      <c r="D3" s="26">
        <v>11000</v>
      </c>
      <c r="E3" s="27">
        <v>30090500</v>
      </c>
      <c r="F3" s="28" t="s">
        <v>192</v>
      </c>
      <c r="G3" s="17" t="str">
        <v>စိုးစံအောင်-7</v>
      </c>
    </row>
    <row r="4" spans="1:7" ht="15.75" customHeight="1" x14ac:dyDescent="0.3">
      <c r="A4" s="25" t="s">
        <v>3</v>
      </c>
      <c r="B4" s="25" t="s">
        <v>146</v>
      </c>
      <c r="C4" s="23">
        <v>440</v>
      </c>
      <c r="D4" s="23">
        <v>12000</v>
      </c>
      <c r="E4" s="24">
        <v>5280000</v>
      </c>
      <c r="F4" s="25" t="s">
        <v>192</v>
      </c>
      <c r="G4" s="17" t="str">
        <v>စိုးစံအောင်-ရိုးရိုး</v>
      </c>
    </row>
    <row r="5" spans="1:7" ht="15.75" customHeight="1" x14ac:dyDescent="0.3">
      <c r="A5" s="28" t="s">
        <v>25</v>
      </c>
      <c r="B5" s="28" t="s">
        <v>25</v>
      </c>
      <c r="C5" s="26">
        <v>0.5</v>
      </c>
      <c r="D5" s="26">
        <v>12500</v>
      </c>
      <c r="E5" s="27">
        <v>6250</v>
      </c>
      <c r="F5" s="28" t="s">
        <v>192</v>
      </c>
      <c r="G5" s="17" t="str">
        <v>စိုးပြည့်အောင်-7</v>
      </c>
    </row>
    <row r="6" spans="1:7" ht="15.75" customHeight="1" x14ac:dyDescent="0.3">
      <c r="A6" s="25" t="s">
        <v>4</v>
      </c>
      <c r="B6" s="25" t="s">
        <v>4</v>
      </c>
      <c r="C6" s="23">
        <v>7</v>
      </c>
      <c r="D6" s="23">
        <v>16000</v>
      </c>
      <c r="E6" s="24">
        <v>112000</v>
      </c>
      <c r="F6" s="25" t="s">
        <v>192</v>
      </c>
      <c r="G6" s="17" t="str">
        <v>ရွှေနတ်သား</v>
      </c>
    </row>
    <row r="7" spans="1:7" ht="15.75" customHeight="1" x14ac:dyDescent="0.3">
      <c r="A7" s="28" t="s">
        <v>4</v>
      </c>
      <c r="B7" s="28" t="s">
        <v>4</v>
      </c>
      <c r="C7" s="26">
        <v>3.5</v>
      </c>
      <c r="D7" s="26">
        <v>17000</v>
      </c>
      <c r="E7" s="27">
        <v>59500</v>
      </c>
      <c r="F7" s="28" t="s">
        <v>192</v>
      </c>
      <c r="G7" s="17" t="str">
        <v>ရွှေရည်-88</v>
      </c>
    </row>
    <row r="8" spans="1:7" ht="15.75" customHeight="1" x14ac:dyDescent="0.3">
      <c r="A8" s="25" t="s">
        <v>16</v>
      </c>
      <c r="B8" s="25" t="s">
        <v>16</v>
      </c>
      <c r="C8" s="23">
        <v>17</v>
      </c>
      <c r="D8" s="23">
        <v>7000</v>
      </c>
      <c r="E8" s="24">
        <v>119000</v>
      </c>
      <c r="F8" s="25" t="s">
        <v>192</v>
      </c>
      <c r="G8" s="17" t="str">
        <v>အေးပြည့်အောင်-999</v>
      </c>
    </row>
    <row r="9" spans="1:7" ht="15.75" customHeight="1" x14ac:dyDescent="0.3">
      <c r="A9" s="28" t="s">
        <v>59</v>
      </c>
      <c r="B9" s="28" t="s">
        <v>148</v>
      </c>
      <c r="C9" s="26">
        <v>0.5</v>
      </c>
      <c r="D9" s="26">
        <v>9500</v>
      </c>
      <c r="E9" s="27">
        <v>4750</v>
      </c>
      <c r="F9" s="28" t="s">
        <v>192</v>
      </c>
      <c r="G9" s="17">
        <v>0</v>
      </c>
    </row>
    <row r="10" spans="1:7" ht="15.75" customHeight="1" x14ac:dyDescent="0.3">
      <c r="A10" s="25" t="s">
        <v>53</v>
      </c>
      <c r="B10" s="25" t="s">
        <v>91</v>
      </c>
      <c r="C10" s="23">
        <v>1.5</v>
      </c>
      <c r="D10" s="23">
        <v>5000</v>
      </c>
      <c r="E10" s="24">
        <v>7500</v>
      </c>
      <c r="F10" s="25" t="s">
        <v>192</v>
      </c>
    </row>
    <row r="11" spans="1:7" ht="15.75" customHeight="1" x14ac:dyDescent="0.3">
      <c r="A11" s="28" t="s">
        <v>5</v>
      </c>
      <c r="B11" s="28" t="s">
        <v>149</v>
      </c>
      <c r="C11" s="26">
        <v>36</v>
      </c>
      <c r="D11" s="26">
        <v>9000</v>
      </c>
      <c r="E11" s="27">
        <v>324000</v>
      </c>
      <c r="F11" s="28" t="s">
        <v>192</v>
      </c>
    </row>
    <row r="12" spans="1:7" ht="15.75" customHeight="1" x14ac:dyDescent="0.3">
      <c r="A12" s="25" t="s">
        <v>90</v>
      </c>
      <c r="B12" s="25" t="s">
        <v>134</v>
      </c>
      <c r="C12" s="23">
        <v>3.5</v>
      </c>
      <c r="D12" s="23">
        <v>20000</v>
      </c>
      <c r="E12" s="24">
        <v>70000</v>
      </c>
      <c r="F12" s="25" t="s">
        <v>192</v>
      </c>
    </row>
    <row r="13" spans="1:7" ht="15.75" customHeight="1" x14ac:dyDescent="0.3">
      <c r="A13" s="28" t="s">
        <v>90</v>
      </c>
      <c r="B13" s="28" t="s">
        <v>150</v>
      </c>
      <c r="C13" s="26">
        <v>4</v>
      </c>
      <c r="D13" s="26">
        <v>4000</v>
      </c>
      <c r="E13" s="27">
        <v>16000</v>
      </c>
      <c r="F13" s="28" t="s">
        <v>192</v>
      </c>
    </row>
    <row r="14" spans="1:7" ht="15.75" customHeight="1" x14ac:dyDescent="0.3">
      <c r="A14" s="25" t="s">
        <v>90</v>
      </c>
      <c r="B14" s="25" t="s">
        <v>145</v>
      </c>
      <c r="C14" s="23">
        <v>6</v>
      </c>
      <c r="D14" s="23">
        <v>6000</v>
      </c>
      <c r="E14" s="24">
        <v>36000</v>
      </c>
      <c r="F14" s="25" t="s">
        <v>192</v>
      </c>
    </row>
    <row r="15" spans="1:7" ht="15.75" customHeight="1" x14ac:dyDescent="0.3">
      <c r="A15" s="28" t="s">
        <v>90</v>
      </c>
      <c r="B15" s="28" t="s">
        <v>6</v>
      </c>
      <c r="C15" s="26">
        <v>39</v>
      </c>
      <c r="D15" s="26">
        <v>5000</v>
      </c>
      <c r="E15" s="27">
        <v>195000</v>
      </c>
      <c r="F15" s="28" t="s">
        <v>192</v>
      </c>
    </row>
    <row r="16" spans="1:7" ht="15.75" customHeight="1" x14ac:dyDescent="0.3">
      <c r="A16" s="25" t="s">
        <v>63</v>
      </c>
      <c r="B16" s="25" t="s">
        <v>96</v>
      </c>
      <c r="C16" s="23">
        <v>3</v>
      </c>
      <c r="D16" s="23">
        <v>6000</v>
      </c>
      <c r="E16" s="24">
        <v>18000</v>
      </c>
      <c r="F16" s="25" t="s">
        <v>192</v>
      </c>
    </row>
    <row r="17" spans="1:6" ht="15.75" customHeight="1" x14ac:dyDescent="0.3">
      <c r="A17" s="28" t="s">
        <v>90</v>
      </c>
      <c r="B17" s="28" t="s">
        <v>143</v>
      </c>
      <c r="C17" s="26">
        <v>1</v>
      </c>
      <c r="D17" s="26">
        <v>10000</v>
      </c>
      <c r="E17" s="27">
        <v>10000</v>
      </c>
      <c r="F17" s="28" t="s">
        <v>192</v>
      </c>
    </row>
    <row r="18" spans="1:6" ht="15.75" customHeight="1" x14ac:dyDescent="0.3">
      <c r="A18" s="25" t="s">
        <v>90</v>
      </c>
      <c r="B18" s="25" t="s">
        <v>122</v>
      </c>
      <c r="C18" s="23">
        <v>55.5</v>
      </c>
      <c r="D18" s="23">
        <v>4000</v>
      </c>
      <c r="E18" s="24">
        <v>222000</v>
      </c>
      <c r="F18" s="25" t="s">
        <v>192</v>
      </c>
    </row>
    <row r="19" spans="1:6" ht="15.75" customHeight="1" x14ac:dyDescent="0.3">
      <c r="A19" s="28" t="s">
        <v>90</v>
      </c>
      <c r="B19" s="28" t="s">
        <v>122</v>
      </c>
      <c r="C19" s="26">
        <v>10.5</v>
      </c>
      <c r="D19" s="26">
        <v>5000</v>
      </c>
      <c r="E19" s="27">
        <v>52500</v>
      </c>
      <c r="F19" s="28" t="s">
        <v>192</v>
      </c>
    </row>
    <row r="20" spans="1:6" ht="15.75" customHeight="1" x14ac:dyDescent="0.3">
      <c r="A20" s="25" t="s">
        <v>18</v>
      </c>
      <c r="B20" s="25" t="s">
        <v>151</v>
      </c>
      <c r="C20" s="23">
        <v>1</v>
      </c>
      <c r="D20" s="23">
        <v>18000</v>
      </c>
      <c r="E20" s="24">
        <v>18000</v>
      </c>
      <c r="F20" s="25" t="s">
        <v>192</v>
      </c>
    </row>
    <row r="21" spans="1:6" ht="15.75" customHeight="1" x14ac:dyDescent="0.3">
      <c r="A21" s="28" t="s">
        <v>90</v>
      </c>
      <c r="B21" s="28" t="s">
        <v>152</v>
      </c>
      <c r="C21" s="26">
        <v>23</v>
      </c>
      <c r="D21" s="26">
        <v>10000</v>
      </c>
      <c r="E21" s="27">
        <v>230000</v>
      </c>
      <c r="F21" s="28" t="s">
        <v>192</v>
      </c>
    </row>
    <row r="22" spans="1:6" ht="15.75" customHeight="1" x14ac:dyDescent="0.3">
      <c r="A22" s="25" t="s">
        <v>90</v>
      </c>
      <c r="B22" s="25" t="s">
        <v>153</v>
      </c>
      <c r="C22" s="23">
        <v>8.5</v>
      </c>
      <c r="D22" s="23">
        <v>9000</v>
      </c>
      <c r="E22" s="24">
        <v>76500</v>
      </c>
      <c r="F22" s="25" t="s">
        <v>192</v>
      </c>
    </row>
    <row r="23" spans="1:6" ht="15.75" customHeight="1" x14ac:dyDescent="0.3">
      <c r="A23" s="28" t="s">
        <v>90</v>
      </c>
      <c r="B23" s="28" t="s">
        <v>97</v>
      </c>
      <c r="C23" s="26">
        <v>9.5</v>
      </c>
      <c r="D23" s="26">
        <v>11000</v>
      </c>
      <c r="E23" s="27">
        <v>104500</v>
      </c>
      <c r="F23" s="28" t="s">
        <v>192</v>
      </c>
    </row>
    <row r="24" spans="1:6" ht="15.75" customHeight="1" x14ac:dyDescent="0.3">
      <c r="A24" s="25" t="s">
        <v>39</v>
      </c>
      <c r="B24" s="25" t="s">
        <v>154</v>
      </c>
      <c r="C24" s="23">
        <v>9</v>
      </c>
      <c r="D24" s="23">
        <v>16000</v>
      </c>
      <c r="E24" s="24">
        <v>144000</v>
      </c>
      <c r="F24" s="25" t="s">
        <v>192</v>
      </c>
    </row>
    <row r="25" spans="1:6" ht="15.75" customHeight="1" x14ac:dyDescent="0.3">
      <c r="A25" s="28" t="s">
        <v>39</v>
      </c>
      <c r="B25" s="28" t="s">
        <v>155</v>
      </c>
      <c r="C25" s="26">
        <v>12.5</v>
      </c>
      <c r="D25" s="26">
        <v>7500</v>
      </c>
      <c r="E25" s="27">
        <v>93750</v>
      </c>
      <c r="F25" s="28" t="s">
        <v>192</v>
      </c>
    </row>
    <row r="26" spans="1:6" ht="15.75" customHeight="1" x14ac:dyDescent="0.3">
      <c r="A26" s="25" t="s">
        <v>39</v>
      </c>
      <c r="B26" s="25" t="s">
        <v>98</v>
      </c>
      <c r="C26" s="23">
        <v>8</v>
      </c>
      <c r="D26" s="23">
        <v>11000</v>
      </c>
      <c r="E26" s="24">
        <v>88000</v>
      </c>
      <c r="F26" s="25" t="s">
        <v>192</v>
      </c>
    </row>
    <row r="27" spans="1:6" ht="15.75" customHeight="1" x14ac:dyDescent="0.3">
      <c r="A27" s="28" t="s">
        <v>39</v>
      </c>
      <c r="B27" s="28" t="s">
        <v>124</v>
      </c>
      <c r="C27" s="26">
        <v>3</v>
      </c>
      <c r="D27" s="26">
        <v>3000</v>
      </c>
      <c r="E27" s="27">
        <v>9000</v>
      </c>
      <c r="F27" s="28" t="s">
        <v>192</v>
      </c>
    </row>
    <row r="28" spans="1:6" ht="15.75" customHeight="1" x14ac:dyDescent="0.3">
      <c r="A28" s="25" t="s">
        <v>9</v>
      </c>
      <c r="B28" s="25" t="s">
        <v>9</v>
      </c>
      <c r="C28" s="23">
        <v>81</v>
      </c>
      <c r="D28" s="23">
        <v>7000</v>
      </c>
      <c r="E28" s="24">
        <v>567000</v>
      </c>
      <c r="F28" s="25" t="s">
        <v>192</v>
      </c>
    </row>
    <row r="29" spans="1:6" ht="15.75" customHeight="1" x14ac:dyDescent="0.3">
      <c r="A29" s="28" t="s">
        <v>9</v>
      </c>
      <c r="B29" s="28" t="s">
        <v>156</v>
      </c>
      <c r="C29" s="26">
        <v>4</v>
      </c>
      <c r="D29" s="26">
        <v>9000</v>
      </c>
      <c r="E29" s="27">
        <v>36000</v>
      </c>
      <c r="F29" s="28" t="s">
        <v>192</v>
      </c>
    </row>
    <row r="30" spans="1:6" ht="15.75" customHeight="1" x14ac:dyDescent="0.3">
      <c r="A30" s="25" t="s">
        <v>54</v>
      </c>
      <c r="B30" s="25" t="s">
        <v>115</v>
      </c>
      <c r="C30" s="23">
        <v>8.5</v>
      </c>
      <c r="D30" s="23">
        <v>3500</v>
      </c>
      <c r="E30" s="24">
        <v>29750</v>
      </c>
      <c r="F30" s="25" t="s">
        <v>192</v>
      </c>
    </row>
    <row r="31" spans="1:6" ht="15.75" customHeight="1" x14ac:dyDescent="0.3">
      <c r="A31" s="28" t="s">
        <v>21</v>
      </c>
      <c r="B31" s="28" t="s">
        <v>112</v>
      </c>
      <c r="C31" s="26">
        <v>6</v>
      </c>
      <c r="D31" s="26">
        <v>7000</v>
      </c>
      <c r="E31" s="27">
        <v>42000</v>
      </c>
      <c r="F31" s="28" t="s">
        <v>192</v>
      </c>
    </row>
    <row r="32" spans="1:6" ht="15.75" customHeight="1" x14ac:dyDescent="0.3">
      <c r="A32" s="25" t="s">
        <v>21</v>
      </c>
      <c r="B32" s="25" t="s">
        <v>118</v>
      </c>
      <c r="C32" s="23">
        <v>8.5</v>
      </c>
      <c r="D32" s="23">
        <v>13500</v>
      </c>
      <c r="E32" s="24">
        <v>114750</v>
      </c>
      <c r="F32" s="25" t="s">
        <v>192</v>
      </c>
    </row>
    <row r="33" spans="1:6" ht="15.75" customHeight="1" x14ac:dyDescent="0.3">
      <c r="A33" s="28" t="s">
        <v>21</v>
      </c>
      <c r="B33" s="28" t="s">
        <v>119</v>
      </c>
      <c r="C33" s="26">
        <v>14</v>
      </c>
      <c r="D33" s="26">
        <v>13500</v>
      </c>
      <c r="E33" s="27">
        <v>189000</v>
      </c>
      <c r="F33" s="28" t="s">
        <v>192</v>
      </c>
    </row>
    <row r="34" spans="1:6" ht="15.75" customHeight="1" x14ac:dyDescent="0.3">
      <c r="A34" s="25" t="s">
        <v>21</v>
      </c>
      <c r="B34" s="25" t="s">
        <v>119</v>
      </c>
      <c r="C34" s="23">
        <v>58.5</v>
      </c>
      <c r="D34" s="23">
        <v>12500</v>
      </c>
      <c r="E34" s="24">
        <v>731250</v>
      </c>
      <c r="F34" s="25" t="s">
        <v>192</v>
      </c>
    </row>
    <row r="35" spans="1:6" ht="15.75" customHeight="1" x14ac:dyDescent="0.3">
      <c r="A35" s="28" t="s">
        <v>21</v>
      </c>
      <c r="B35" s="28" t="s">
        <v>125</v>
      </c>
      <c r="C35" s="26">
        <v>7</v>
      </c>
      <c r="D35" s="26">
        <v>12500</v>
      </c>
      <c r="E35" s="27">
        <v>87500</v>
      </c>
      <c r="F35" s="28" t="s">
        <v>192</v>
      </c>
    </row>
    <row r="36" spans="1:6" ht="15.75" customHeight="1" x14ac:dyDescent="0.3">
      <c r="A36" s="25" t="s">
        <v>21</v>
      </c>
      <c r="B36" s="25" t="s">
        <v>125</v>
      </c>
      <c r="C36" s="23">
        <v>120.5</v>
      </c>
      <c r="D36" s="23">
        <v>11000</v>
      </c>
      <c r="E36" s="24">
        <v>1325500</v>
      </c>
      <c r="F36" s="25" t="s">
        <v>192</v>
      </c>
    </row>
    <row r="37" spans="1:6" ht="15.75" customHeight="1" x14ac:dyDescent="0.3">
      <c r="A37" s="28" t="s">
        <v>61</v>
      </c>
      <c r="B37" s="28" t="s">
        <v>114</v>
      </c>
      <c r="C37" s="26">
        <v>22</v>
      </c>
      <c r="D37" s="26">
        <v>10000</v>
      </c>
      <c r="E37" s="27">
        <v>220000</v>
      </c>
      <c r="F37" s="28" t="s">
        <v>192</v>
      </c>
    </row>
    <row r="38" spans="1:6" ht="15.75" customHeight="1" x14ac:dyDescent="0.3">
      <c r="A38" s="25" t="s">
        <v>65</v>
      </c>
      <c r="B38" s="25" t="s">
        <v>157</v>
      </c>
      <c r="C38" s="23">
        <v>16130.5</v>
      </c>
      <c r="D38" s="23">
        <v>6500</v>
      </c>
      <c r="E38" s="24">
        <v>104848250</v>
      </c>
      <c r="F38" s="25" t="s">
        <v>192</v>
      </c>
    </row>
    <row r="39" spans="1:6" ht="15.75" customHeight="1" x14ac:dyDescent="0.3">
      <c r="A39" s="28" t="s">
        <v>65</v>
      </c>
      <c r="B39" s="28" t="s">
        <v>158</v>
      </c>
      <c r="C39" s="26">
        <v>13.5</v>
      </c>
      <c r="D39" s="26">
        <v>6000</v>
      </c>
      <c r="E39" s="27">
        <v>81000</v>
      </c>
      <c r="F39" s="28" t="s">
        <v>192</v>
      </c>
    </row>
    <row r="40" spans="1:6" ht="15.75" customHeight="1" x14ac:dyDescent="0.3">
      <c r="A40" s="25" t="s">
        <v>65</v>
      </c>
      <c r="B40" s="25" t="s">
        <v>157</v>
      </c>
      <c r="C40" s="23">
        <v>158.5</v>
      </c>
      <c r="D40" s="23">
        <v>7800</v>
      </c>
      <c r="E40" s="24">
        <v>1236300</v>
      </c>
      <c r="F40" s="25" t="s">
        <v>192</v>
      </c>
    </row>
    <row r="41" spans="1:6" ht="15.75" customHeight="1" x14ac:dyDescent="0.3">
      <c r="A41" s="28" t="s">
        <v>65</v>
      </c>
      <c r="B41" s="28" t="s">
        <v>157</v>
      </c>
      <c r="C41" s="26">
        <v>598.5</v>
      </c>
      <c r="D41" s="26">
        <v>7500</v>
      </c>
      <c r="E41" s="27">
        <v>4488750</v>
      </c>
      <c r="F41" s="28" t="s">
        <v>192</v>
      </c>
    </row>
    <row r="42" spans="1:6" ht="15.75" customHeight="1" x14ac:dyDescent="0.3">
      <c r="A42" s="25" t="s">
        <v>65</v>
      </c>
      <c r="B42" s="25" t="s">
        <v>157</v>
      </c>
      <c r="C42" s="23">
        <v>344.5</v>
      </c>
      <c r="D42" s="23">
        <v>7300</v>
      </c>
      <c r="E42" s="24">
        <v>2514850</v>
      </c>
      <c r="F42" s="25" t="s">
        <v>192</v>
      </c>
    </row>
    <row r="43" spans="1:6" ht="15.75" customHeight="1" x14ac:dyDescent="0.3">
      <c r="A43" s="28" t="s">
        <v>65</v>
      </c>
      <c r="B43" s="28" t="s">
        <v>157</v>
      </c>
      <c r="C43" s="26">
        <v>28</v>
      </c>
      <c r="D43" s="26">
        <v>6600</v>
      </c>
      <c r="E43" s="27">
        <v>184800</v>
      </c>
      <c r="F43" s="28" t="s">
        <v>192</v>
      </c>
    </row>
    <row r="44" spans="1:6" ht="15.75" customHeight="1" x14ac:dyDescent="0.3">
      <c r="A44" s="25" t="s">
        <v>65</v>
      </c>
      <c r="B44" s="25" t="s">
        <v>159</v>
      </c>
      <c r="C44" s="23">
        <v>41</v>
      </c>
      <c r="D44" s="23">
        <v>8500</v>
      </c>
      <c r="E44" s="24">
        <v>348500</v>
      </c>
      <c r="F44" s="25" t="s">
        <v>192</v>
      </c>
    </row>
    <row r="45" spans="1:6" ht="15.75" customHeight="1" x14ac:dyDescent="0.3">
      <c r="A45" s="28" t="s">
        <v>65</v>
      </c>
      <c r="B45" s="28" t="s">
        <v>159</v>
      </c>
      <c r="C45" s="26">
        <v>11</v>
      </c>
      <c r="D45" s="26">
        <v>10000</v>
      </c>
      <c r="E45" s="27">
        <v>110000</v>
      </c>
      <c r="F45" s="28" t="s">
        <v>192</v>
      </c>
    </row>
    <row r="46" spans="1:6" ht="15.75" customHeight="1" x14ac:dyDescent="0.3">
      <c r="A46" s="25" t="s">
        <v>11</v>
      </c>
      <c r="B46" s="25" t="s">
        <v>160</v>
      </c>
      <c r="C46" s="23">
        <v>319.5</v>
      </c>
      <c r="D46" s="23">
        <v>10500</v>
      </c>
      <c r="E46" s="24">
        <v>3354750</v>
      </c>
      <c r="F46" s="25" t="s">
        <v>192</v>
      </c>
    </row>
    <row r="47" spans="1:6" ht="15.75" customHeight="1" x14ac:dyDescent="0.3">
      <c r="A47" s="28" t="s">
        <v>11</v>
      </c>
      <c r="B47" s="28" t="s">
        <v>160</v>
      </c>
      <c r="C47" s="26">
        <v>17</v>
      </c>
      <c r="D47" s="26">
        <v>14000</v>
      </c>
      <c r="E47" s="27">
        <v>238000</v>
      </c>
      <c r="F47" s="28" t="s">
        <v>192</v>
      </c>
    </row>
    <row r="48" spans="1:6" ht="15.75" customHeight="1" x14ac:dyDescent="0.3">
      <c r="A48" s="25" t="s">
        <v>11</v>
      </c>
      <c r="B48" s="25" t="s">
        <v>160</v>
      </c>
      <c r="C48" s="23">
        <v>8</v>
      </c>
      <c r="D48" s="23">
        <v>13800</v>
      </c>
      <c r="E48" s="24">
        <v>110400</v>
      </c>
      <c r="F48" s="25" t="s">
        <v>192</v>
      </c>
    </row>
    <row r="49" spans="1:6" ht="15.75" customHeight="1" x14ac:dyDescent="0.3">
      <c r="A49" s="28" t="s">
        <v>11</v>
      </c>
      <c r="B49" s="28" t="s">
        <v>160</v>
      </c>
      <c r="C49" s="26">
        <v>47.5</v>
      </c>
      <c r="D49" s="26">
        <v>10500</v>
      </c>
      <c r="E49" s="27">
        <v>498750</v>
      </c>
      <c r="F49" s="28" t="s">
        <v>192</v>
      </c>
    </row>
    <row r="50" spans="1:6" ht="15.75" customHeight="1" x14ac:dyDescent="0.3">
      <c r="A50" s="25" t="s">
        <v>11</v>
      </c>
      <c r="B50" s="25" t="s">
        <v>161</v>
      </c>
      <c r="C50" s="23">
        <v>1</v>
      </c>
      <c r="D50" s="23">
        <v>9000</v>
      </c>
      <c r="E50" s="24">
        <v>9000</v>
      </c>
      <c r="F50" s="25" t="s">
        <v>192</v>
      </c>
    </row>
    <row r="51" spans="1:6" ht="15.75" customHeight="1" x14ac:dyDescent="0.3">
      <c r="A51" s="28" t="s">
        <v>11</v>
      </c>
      <c r="B51" s="28" t="s">
        <v>161</v>
      </c>
      <c r="C51" s="26">
        <v>75.5</v>
      </c>
      <c r="D51" s="26">
        <v>9500</v>
      </c>
      <c r="E51" s="27">
        <v>717250</v>
      </c>
      <c r="F51" s="28" t="s">
        <v>192</v>
      </c>
    </row>
    <row r="52" spans="1:6" ht="15.75" customHeight="1" x14ac:dyDescent="0.3">
      <c r="A52" s="25" t="s">
        <v>11</v>
      </c>
      <c r="B52" s="25" t="s">
        <v>161</v>
      </c>
      <c r="C52" s="23">
        <v>42</v>
      </c>
      <c r="D52" s="23">
        <v>11800</v>
      </c>
      <c r="E52" s="24">
        <v>495600</v>
      </c>
      <c r="F52" s="25" t="s">
        <v>192</v>
      </c>
    </row>
    <row r="53" spans="1:6" ht="15.75" customHeight="1" x14ac:dyDescent="0.3">
      <c r="A53" s="28" t="s">
        <v>31</v>
      </c>
      <c r="B53" s="28" t="s">
        <v>162</v>
      </c>
      <c r="C53" s="26">
        <v>7.5</v>
      </c>
      <c r="D53" s="26">
        <v>22000</v>
      </c>
      <c r="E53" s="27">
        <v>165000</v>
      </c>
      <c r="F53" s="28" t="s">
        <v>192</v>
      </c>
    </row>
    <row r="54" spans="1:6" ht="15.75" customHeight="1" x14ac:dyDescent="0.3">
      <c r="A54" s="25" t="s">
        <v>31</v>
      </c>
      <c r="B54" s="25" t="s">
        <v>163</v>
      </c>
      <c r="C54" s="23">
        <v>4.5</v>
      </c>
      <c r="D54" s="23">
        <v>22000</v>
      </c>
      <c r="E54" s="24">
        <v>99000</v>
      </c>
      <c r="F54" s="25" t="s">
        <v>192</v>
      </c>
    </row>
    <row r="55" spans="1:6" ht="15.75" customHeight="1" x14ac:dyDescent="0.3">
      <c r="A55" s="28" t="s">
        <v>31</v>
      </c>
      <c r="B55" s="28" t="s">
        <v>164</v>
      </c>
      <c r="C55" s="26">
        <v>6</v>
      </c>
      <c r="D55" s="26">
        <v>17500</v>
      </c>
      <c r="E55" s="27">
        <v>105000</v>
      </c>
      <c r="F55" s="28" t="s">
        <v>192</v>
      </c>
    </row>
    <row r="56" spans="1:6" ht="15.75" customHeight="1" x14ac:dyDescent="0.3">
      <c r="A56" s="25" t="s">
        <v>31</v>
      </c>
      <c r="B56" s="25" t="s">
        <v>165</v>
      </c>
      <c r="C56" s="23">
        <v>2.5</v>
      </c>
      <c r="D56" s="23">
        <v>20000</v>
      </c>
      <c r="E56" s="24">
        <v>50000</v>
      </c>
      <c r="F56" s="25" t="s">
        <v>192</v>
      </c>
    </row>
    <row r="57" spans="1:6" ht="15.75" customHeight="1" x14ac:dyDescent="0.3">
      <c r="A57" s="28" t="s">
        <v>31</v>
      </c>
      <c r="B57" s="28" t="s">
        <v>166</v>
      </c>
      <c r="C57" s="26">
        <v>3</v>
      </c>
      <c r="D57" s="26">
        <v>14000</v>
      </c>
      <c r="E57" s="27">
        <v>42000</v>
      </c>
      <c r="F57" s="28" t="s">
        <v>192</v>
      </c>
    </row>
    <row r="58" spans="1:6" ht="15.75" customHeight="1" x14ac:dyDescent="0.3">
      <c r="A58" s="25" t="s">
        <v>31</v>
      </c>
      <c r="B58" s="25" t="s">
        <v>167</v>
      </c>
      <c r="C58" s="23">
        <v>1.5</v>
      </c>
      <c r="D58" s="23">
        <v>12000</v>
      </c>
      <c r="E58" s="24">
        <v>18000</v>
      </c>
      <c r="F58" s="25" t="s">
        <v>192</v>
      </c>
    </row>
    <row r="59" spans="1:6" ht="15.75" customHeight="1" x14ac:dyDescent="0.3">
      <c r="A59" s="28" t="s">
        <v>14</v>
      </c>
      <c r="B59" s="28" t="s">
        <v>116</v>
      </c>
      <c r="C59" s="26">
        <v>103</v>
      </c>
      <c r="D59" s="26">
        <v>6500</v>
      </c>
      <c r="E59" s="27">
        <v>669500</v>
      </c>
      <c r="F59" s="28" t="s">
        <v>192</v>
      </c>
    </row>
    <row r="60" spans="1:6" ht="15.75" customHeight="1" x14ac:dyDescent="0.3">
      <c r="A60" s="25" t="s">
        <v>14</v>
      </c>
      <c r="B60" s="25" t="s">
        <v>109</v>
      </c>
      <c r="C60" s="23">
        <v>219</v>
      </c>
      <c r="D60" s="23">
        <v>9000</v>
      </c>
      <c r="E60" s="24">
        <v>1971000</v>
      </c>
      <c r="F60" s="25" t="s">
        <v>192</v>
      </c>
    </row>
    <row r="61" spans="1:6" ht="15.75" customHeight="1" x14ac:dyDescent="0.3">
      <c r="A61" s="28" t="s">
        <v>14</v>
      </c>
      <c r="B61" s="28" t="s">
        <v>109</v>
      </c>
      <c r="C61" s="26">
        <v>60</v>
      </c>
      <c r="D61" s="26">
        <v>9500</v>
      </c>
      <c r="E61" s="27">
        <v>570000</v>
      </c>
      <c r="F61" s="28" t="s">
        <v>192</v>
      </c>
    </row>
    <row r="62" spans="1:6" ht="15.75" customHeight="1" x14ac:dyDescent="0.3">
      <c r="A62" s="25" t="s">
        <v>14</v>
      </c>
      <c r="B62" s="25" t="s">
        <v>109</v>
      </c>
      <c r="C62" s="23">
        <v>544.5</v>
      </c>
      <c r="D62" s="23">
        <v>8500</v>
      </c>
      <c r="E62" s="24">
        <v>4628250</v>
      </c>
      <c r="F62" s="25" t="s">
        <v>192</v>
      </c>
    </row>
    <row r="63" spans="1:6" ht="15.75" customHeight="1" x14ac:dyDescent="0.3">
      <c r="A63" s="28" t="s">
        <v>14</v>
      </c>
      <c r="B63" s="28" t="s">
        <v>109</v>
      </c>
      <c r="C63" s="26">
        <v>280.5</v>
      </c>
      <c r="D63" s="26">
        <v>9000</v>
      </c>
      <c r="E63" s="27">
        <v>2524500</v>
      </c>
      <c r="F63" s="28" t="s">
        <v>192</v>
      </c>
    </row>
    <row r="64" spans="1:6" ht="15.75" customHeight="1" x14ac:dyDescent="0.3">
      <c r="A64" s="25" t="s">
        <v>14</v>
      </c>
      <c r="B64" s="25" t="s">
        <v>116</v>
      </c>
      <c r="C64" s="23">
        <v>9</v>
      </c>
      <c r="D64" s="23">
        <v>7800</v>
      </c>
      <c r="E64" s="24">
        <v>70200</v>
      </c>
      <c r="F64" s="25" t="s">
        <v>192</v>
      </c>
    </row>
    <row r="65" spans="1:6" ht="15.75" customHeight="1" x14ac:dyDescent="0.3">
      <c r="A65" s="28" t="s">
        <v>14</v>
      </c>
      <c r="B65" s="28" t="s">
        <v>116</v>
      </c>
      <c r="C65" s="26">
        <v>153.5</v>
      </c>
      <c r="D65" s="26">
        <v>8000</v>
      </c>
      <c r="E65" s="27">
        <v>1228000</v>
      </c>
      <c r="F65" s="28" t="s">
        <v>192</v>
      </c>
    </row>
    <row r="66" spans="1:6" ht="15.75" customHeight="1" x14ac:dyDescent="0.3">
      <c r="A66" s="25" t="s">
        <v>44</v>
      </c>
      <c r="B66" s="25" t="s">
        <v>15</v>
      </c>
      <c r="C66" s="23">
        <v>19</v>
      </c>
      <c r="D66" s="23">
        <v>9500</v>
      </c>
      <c r="E66" s="24">
        <v>180500</v>
      </c>
      <c r="F66" s="25" t="s">
        <v>192</v>
      </c>
    </row>
    <row r="67" spans="1:6" ht="15.75" customHeight="1" x14ac:dyDescent="0.3">
      <c r="A67" s="28" t="s">
        <v>44</v>
      </c>
      <c r="B67" s="28" t="s">
        <v>15</v>
      </c>
      <c r="C67" s="26">
        <v>626.5</v>
      </c>
      <c r="D67" s="26">
        <v>7500</v>
      </c>
      <c r="E67" s="27">
        <v>4698750</v>
      </c>
      <c r="F67" s="28" t="s">
        <v>192</v>
      </c>
    </row>
    <row r="68" spans="1:6" ht="15.75" customHeight="1" x14ac:dyDescent="0.3">
      <c r="A68" s="25" t="s">
        <v>44</v>
      </c>
      <c r="B68" s="25" t="s">
        <v>15</v>
      </c>
      <c r="C68" s="23">
        <v>1.5</v>
      </c>
      <c r="D68" s="23">
        <v>8000</v>
      </c>
      <c r="E68" s="24">
        <v>12000</v>
      </c>
      <c r="F68" s="25" t="s">
        <v>192</v>
      </c>
    </row>
    <row r="69" spans="1:6" ht="15.75" customHeight="1" x14ac:dyDescent="0.3">
      <c r="A69" s="28" t="s">
        <v>44</v>
      </c>
      <c r="B69" s="28" t="s">
        <v>15</v>
      </c>
      <c r="C69" s="26">
        <v>78.5</v>
      </c>
      <c r="D69" s="26">
        <v>8500</v>
      </c>
      <c r="E69" s="27">
        <v>667250</v>
      </c>
      <c r="F69" s="28" t="s">
        <v>192</v>
      </c>
    </row>
    <row r="70" spans="1:6" ht="15.75" customHeight="1" x14ac:dyDescent="0.3">
      <c r="A70" s="25" t="s">
        <v>44</v>
      </c>
      <c r="B70" s="25" t="s">
        <v>140</v>
      </c>
      <c r="C70" s="23">
        <v>7</v>
      </c>
      <c r="D70" s="23">
        <v>9500</v>
      </c>
      <c r="E70" s="24">
        <v>66500</v>
      </c>
      <c r="F70" s="25" t="s">
        <v>192</v>
      </c>
    </row>
    <row r="71" spans="1:6" ht="15.75" customHeight="1" x14ac:dyDescent="0.3">
      <c r="A71" s="28" t="s">
        <v>44</v>
      </c>
      <c r="B71" s="28" t="s">
        <v>168</v>
      </c>
      <c r="C71" s="26">
        <v>36</v>
      </c>
      <c r="D71" s="26">
        <v>7000</v>
      </c>
      <c r="E71" s="27">
        <v>252000</v>
      </c>
      <c r="F71" s="28" t="s">
        <v>192</v>
      </c>
    </row>
    <row r="72" spans="1:6" ht="15.75" customHeight="1" x14ac:dyDescent="0.3">
      <c r="A72" s="25" t="s">
        <v>44</v>
      </c>
      <c r="B72" s="25" t="s">
        <v>106</v>
      </c>
      <c r="C72" s="23">
        <v>28</v>
      </c>
      <c r="D72" s="23">
        <v>11000</v>
      </c>
      <c r="E72" s="24">
        <v>308000</v>
      </c>
      <c r="F72" s="25" t="s">
        <v>192</v>
      </c>
    </row>
    <row r="73" spans="1:6" ht="15.75" customHeight="1" x14ac:dyDescent="0.3">
      <c r="A73" s="28" t="s">
        <v>44</v>
      </c>
      <c r="B73" s="28" t="s">
        <v>140</v>
      </c>
      <c r="C73" s="26">
        <v>85.5</v>
      </c>
      <c r="D73" s="26">
        <v>9000</v>
      </c>
      <c r="E73" s="27">
        <v>769500</v>
      </c>
      <c r="F73" s="28" t="s">
        <v>192</v>
      </c>
    </row>
    <row r="74" spans="1:6" ht="15.75" customHeight="1" x14ac:dyDescent="0.3">
      <c r="A74" s="25" t="s">
        <v>46</v>
      </c>
      <c r="B74" s="25" t="s">
        <v>169</v>
      </c>
      <c r="C74" s="23">
        <v>1</v>
      </c>
      <c r="D74" s="23">
        <v>6000</v>
      </c>
      <c r="E74" s="24">
        <v>6000</v>
      </c>
      <c r="F74" s="25" t="s">
        <v>192</v>
      </c>
    </row>
    <row r="75" spans="1:6" ht="15.75" customHeight="1" x14ac:dyDescent="0.3">
      <c r="A75" s="28" t="s">
        <v>46</v>
      </c>
      <c r="B75" s="28" t="s">
        <v>170</v>
      </c>
      <c r="C75" s="26">
        <v>1</v>
      </c>
      <c r="D75" s="26">
        <v>10000</v>
      </c>
      <c r="E75" s="27">
        <v>10000</v>
      </c>
      <c r="F75" s="28" t="s">
        <v>192</v>
      </c>
    </row>
    <row r="76" spans="1:6" ht="15.75" customHeight="1" x14ac:dyDescent="0.3">
      <c r="A76" s="25" t="s">
        <v>3</v>
      </c>
      <c r="B76" s="25" t="s">
        <v>146</v>
      </c>
      <c r="C76" s="23">
        <v>7050.5</v>
      </c>
      <c r="D76" s="23">
        <v>11000</v>
      </c>
      <c r="E76" s="24">
        <v>77555500</v>
      </c>
      <c r="F76" s="25" t="s">
        <v>193</v>
      </c>
    </row>
    <row r="77" spans="1:6" ht="15.75" customHeight="1" x14ac:dyDescent="0.3">
      <c r="A77" s="28" t="s">
        <v>3</v>
      </c>
      <c r="B77" s="28" t="s">
        <v>146</v>
      </c>
      <c r="C77" s="26">
        <v>10</v>
      </c>
      <c r="D77" s="26">
        <v>11800</v>
      </c>
      <c r="E77" s="27">
        <v>118000</v>
      </c>
      <c r="F77" s="28" t="s">
        <v>193</v>
      </c>
    </row>
    <row r="78" spans="1:6" ht="15.75" customHeight="1" x14ac:dyDescent="0.3">
      <c r="A78" s="25" t="s">
        <v>3</v>
      </c>
      <c r="B78" s="25" t="s">
        <v>146</v>
      </c>
      <c r="C78" s="23">
        <v>160</v>
      </c>
      <c r="D78" s="23">
        <v>12000</v>
      </c>
      <c r="E78" s="24">
        <v>1920000</v>
      </c>
      <c r="F78" s="25" t="s">
        <v>193</v>
      </c>
    </row>
    <row r="79" spans="1:6" ht="15.75" customHeight="1" x14ac:dyDescent="0.3">
      <c r="A79" s="28" t="s">
        <v>3</v>
      </c>
      <c r="B79" s="28" t="s">
        <v>142</v>
      </c>
      <c r="C79" s="26">
        <v>4.5</v>
      </c>
      <c r="D79" s="26">
        <v>9000</v>
      </c>
      <c r="E79" s="27">
        <v>40500</v>
      </c>
      <c r="F79" s="28" t="s">
        <v>193</v>
      </c>
    </row>
    <row r="80" spans="1:6" ht="15.75" customHeight="1" x14ac:dyDescent="0.3">
      <c r="A80" s="25" t="s">
        <v>4</v>
      </c>
      <c r="B80" s="25" t="s">
        <v>4</v>
      </c>
      <c r="C80" s="23">
        <v>163</v>
      </c>
      <c r="D80" s="23">
        <v>16000</v>
      </c>
      <c r="E80" s="24">
        <v>2608000</v>
      </c>
      <c r="F80" s="25" t="s">
        <v>193</v>
      </c>
    </row>
    <row r="81" spans="1:6" ht="15.75" customHeight="1" x14ac:dyDescent="0.3">
      <c r="A81" s="28" t="s">
        <v>4</v>
      </c>
      <c r="B81" s="28" t="s">
        <v>4</v>
      </c>
      <c r="C81" s="26">
        <v>49</v>
      </c>
      <c r="D81" s="26">
        <v>17000</v>
      </c>
      <c r="E81" s="27">
        <v>833000</v>
      </c>
      <c r="F81" s="28" t="s">
        <v>193</v>
      </c>
    </row>
    <row r="82" spans="1:6" ht="15.75" customHeight="1" x14ac:dyDescent="0.3">
      <c r="A82" s="25" t="s">
        <v>16</v>
      </c>
      <c r="B82" s="25" t="s">
        <v>16</v>
      </c>
      <c r="C82" s="23">
        <v>11.5</v>
      </c>
      <c r="D82" s="23">
        <v>7000</v>
      </c>
      <c r="E82" s="24">
        <v>80500</v>
      </c>
      <c r="F82" s="25" t="s">
        <v>193</v>
      </c>
    </row>
    <row r="83" spans="1:6" ht="15.75" customHeight="1" x14ac:dyDescent="0.3">
      <c r="A83" s="28" t="s">
        <v>62</v>
      </c>
      <c r="B83" s="28" t="s">
        <v>95</v>
      </c>
      <c r="C83" s="26">
        <v>15</v>
      </c>
      <c r="D83" s="26">
        <v>6500</v>
      </c>
      <c r="E83" s="27">
        <v>97500</v>
      </c>
      <c r="F83" s="28" t="s">
        <v>193</v>
      </c>
    </row>
    <row r="84" spans="1:6" ht="15.75" customHeight="1" x14ac:dyDescent="0.3">
      <c r="A84" s="25" t="s">
        <v>59</v>
      </c>
      <c r="B84" s="25" t="s">
        <v>59</v>
      </c>
      <c r="C84" s="23">
        <v>680.5</v>
      </c>
      <c r="D84" s="23">
        <v>9500</v>
      </c>
      <c r="E84" s="24">
        <v>6464750</v>
      </c>
      <c r="F84" s="25" t="s">
        <v>193</v>
      </c>
    </row>
    <row r="85" spans="1:6" ht="15.75" customHeight="1" x14ac:dyDescent="0.3">
      <c r="A85" s="28" t="s">
        <v>59</v>
      </c>
      <c r="B85" s="28" t="s">
        <v>171</v>
      </c>
      <c r="C85" s="26">
        <v>401.5</v>
      </c>
      <c r="D85" s="26">
        <v>10000</v>
      </c>
      <c r="E85" s="27">
        <v>4015000</v>
      </c>
      <c r="F85" s="28" t="s">
        <v>193</v>
      </c>
    </row>
    <row r="86" spans="1:6" ht="15.75" customHeight="1" x14ac:dyDescent="0.3">
      <c r="A86" s="25" t="s">
        <v>59</v>
      </c>
      <c r="B86" s="25" t="s">
        <v>172</v>
      </c>
      <c r="C86" s="23">
        <v>49</v>
      </c>
      <c r="D86" s="23">
        <v>11000</v>
      </c>
      <c r="E86" s="24">
        <v>539000</v>
      </c>
      <c r="F86" s="25" t="s">
        <v>193</v>
      </c>
    </row>
    <row r="87" spans="1:6" ht="15.75" customHeight="1" x14ac:dyDescent="0.3">
      <c r="A87" s="28" t="s">
        <v>59</v>
      </c>
      <c r="B87" s="28" t="s">
        <v>173</v>
      </c>
      <c r="C87" s="26">
        <v>12</v>
      </c>
      <c r="D87" s="26">
        <v>11500</v>
      </c>
      <c r="E87" s="27">
        <v>138000</v>
      </c>
      <c r="F87" s="28" t="s">
        <v>193</v>
      </c>
    </row>
    <row r="88" spans="1:6" ht="15.75" customHeight="1" x14ac:dyDescent="0.3">
      <c r="A88" s="25" t="s">
        <v>59</v>
      </c>
      <c r="B88" s="25" t="s">
        <v>173</v>
      </c>
      <c r="C88" s="23">
        <v>86</v>
      </c>
      <c r="D88" s="23">
        <v>10500</v>
      </c>
      <c r="E88" s="24">
        <v>903000</v>
      </c>
      <c r="F88" s="25" t="s">
        <v>193</v>
      </c>
    </row>
    <row r="89" spans="1:6" ht="15.75" customHeight="1" x14ac:dyDescent="0.3">
      <c r="A89" s="28" t="s">
        <v>53</v>
      </c>
      <c r="B89" s="28" t="s">
        <v>91</v>
      </c>
      <c r="C89" s="26">
        <v>7.5</v>
      </c>
      <c r="D89" s="26">
        <v>5000</v>
      </c>
      <c r="E89" s="27">
        <v>37500</v>
      </c>
      <c r="F89" s="28" t="s">
        <v>193</v>
      </c>
    </row>
    <row r="90" spans="1:6" ht="15.75" customHeight="1" x14ac:dyDescent="0.3">
      <c r="A90" s="25" t="s">
        <v>5</v>
      </c>
      <c r="B90" s="25" t="s">
        <v>121</v>
      </c>
      <c r="C90" s="23">
        <v>63.5</v>
      </c>
      <c r="D90" s="23">
        <v>9000</v>
      </c>
      <c r="E90" s="24">
        <v>571500</v>
      </c>
      <c r="F90" s="25" t="s">
        <v>193</v>
      </c>
    </row>
    <row r="91" spans="1:6" ht="15.75" customHeight="1" x14ac:dyDescent="0.3">
      <c r="A91" s="28" t="s">
        <v>5</v>
      </c>
      <c r="B91" s="28" t="s">
        <v>5</v>
      </c>
      <c r="C91" s="26">
        <v>7.5</v>
      </c>
      <c r="D91" s="26">
        <v>9500</v>
      </c>
      <c r="E91" s="27">
        <v>71250</v>
      </c>
      <c r="F91" s="28" t="s">
        <v>193</v>
      </c>
    </row>
    <row r="92" spans="1:6" ht="15.75" customHeight="1" x14ac:dyDescent="0.3">
      <c r="A92" s="25" t="s">
        <v>5</v>
      </c>
      <c r="B92" s="25" t="s">
        <v>5</v>
      </c>
      <c r="C92" s="23">
        <v>3</v>
      </c>
      <c r="D92" s="23">
        <v>10000</v>
      </c>
      <c r="E92" s="24">
        <v>30000</v>
      </c>
      <c r="F92" s="25" t="s">
        <v>193</v>
      </c>
    </row>
    <row r="93" spans="1:6" ht="15.75" customHeight="1" x14ac:dyDescent="0.3">
      <c r="A93" s="28" t="s">
        <v>90</v>
      </c>
      <c r="B93" s="28" t="s">
        <v>134</v>
      </c>
      <c r="C93" s="26">
        <v>13</v>
      </c>
      <c r="D93" s="26">
        <v>20000</v>
      </c>
      <c r="E93" s="27">
        <v>260000</v>
      </c>
      <c r="F93" s="28" t="s">
        <v>193</v>
      </c>
    </row>
    <row r="94" spans="1:6" ht="15.75" customHeight="1" x14ac:dyDescent="0.3">
      <c r="A94" s="25" t="s">
        <v>90</v>
      </c>
      <c r="B94" s="25" t="s">
        <v>6</v>
      </c>
      <c r="C94" s="23">
        <v>42.5</v>
      </c>
      <c r="D94" s="23">
        <v>5000</v>
      </c>
      <c r="E94" s="24">
        <v>212500</v>
      </c>
      <c r="F94" s="25" t="s">
        <v>193</v>
      </c>
    </row>
    <row r="95" spans="1:6" ht="15.75" customHeight="1" x14ac:dyDescent="0.3">
      <c r="A95" s="28" t="s">
        <v>63</v>
      </c>
      <c r="B95" s="28" t="s">
        <v>96</v>
      </c>
      <c r="C95" s="26">
        <v>3.5</v>
      </c>
      <c r="D95" s="26">
        <v>6000</v>
      </c>
      <c r="E95" s="27">
        <v>21000</v>
      </c>
      <c r="F95" s="28" t="s">
        <v>193</v>
      </c>
    </row>
    <row r="96" spans="1:6" ht="15.75" customHeight="1" x14ac:dyDescent="0.3">
      <c r="A96" s="25" t="s">
        <v>90</v>
      </c>
      <c r="B96" s="25" t="s">
        <v>122</v>
      </c>
      <c r="C96" s="23">
        <v>96.5</v>
      </c>
      <c r="D96" s="23">
        <v>4000</v>
      </c>
      <c r="E96" s="24">
        <v>386000</v>
      </c>
      <c r="F96" s="25" t="s">
        <v>193</v>
      </c>
    </row>
    <row r="97" spans="1:6" ht="15.75" customHeight="1" x14ac:dyDescent="0.3">
      <c r="A97" s="28" t="s">
        <v>90</v>
      </c>
      <c r="B97" s="28" t="s">
        <v>152</v>
      </c>
      <c r="C97" s="26">
        <v>20</v>
      </c>
      <c r="D97" s="26">
        <v>10000</v>
      </c>
      <c r="E97" s="27">
        <v>200000</v>
      </c>
      <c r="F97" s="28" t="s">
        <v>193</v>
      </c>
    </row>
    <row r="98" spans="1:6" ht="15.75" customHeight="1" x14ac:dyDescent="0.3">
      <c r="A98" s="25" t="s">
        <v>90</v>
      </c>
      <c r="B98" s="25" t="s">
        <v>153</v>
      </c>
      <c r="C98" s="23">
        <v>5.5</v>
      </c>
      <c r="D98" s="23">
        <v>8000</v>
      </c>
      <c r="E98" s="24">
        <v>44000</v>
      </c>
      <c r="F98" s="25" t="s">
        <v>193</v>
      </c>
    </row>
    <row r="99" spans="1:6" ht="15.75" customHeight="1" x14ac:dyDescent="0.3">
      <c r="A99" s="28" t="s">
        <v>90</v>
      </c>
      <c r="B99" s="28" t="s">
        <v>97</v>
      </c>
      <c r="C99" s="26">
        <v>55</v>
      </c>
      <c r="D99" s="26">
        <v>11000</v>
      </c>
      <c r="E99" s="27">
        <v>605000</v>
      </c>
      <c r="F99" s="28" t="s">
        <v>193</v>
      </c>
    </row>
    <row r="100" spans="1:6" ht="15.75" customHeight="1" x14ac:dyDescent="0.3">
      <c r="A100" s="25" t="s">
        <v>39</v>
      </c>
      <c r="B100" s="25" t="s">
        <v>98</v>
      </c>
      <c r="C100" s="23">
        <v>3</v>
      </c>
      <c r="D100" s="23">
        <v>11000</v>
      </c>
      <c r="E100" s="24">
        <v>33000</v>
      </c>
      <c r="F100" s="25" t="s">
        <v>193</v>
      </c>
    </row>
    <row r="101" spans="1:6" ht="15.75" customHeight="1" x14ac:dyDescent="0.3">
      <c r="A101" s="28" t="s">
        <v>39</v>
      </c>
      <c r="B101" s="28" t="s">
        <v>174</v>
      </c>
      <c r="C101" s="26">
        <v>6</v>
      </c>
      <c r="D101" s="26">
        <v>4000</v>
      </c>
      <c r="E101" s="27">
        <v>24000</v>
      </c>
      <c r="F101" s="28" t="s">
        <v>193</v>
      </c>
    </row>
    <row r="102" spans="1:6" ht="15.75" customHeight="1" x14ac:dyDescent="0.3">
      <c r="A102" s="25" t="s">
        <v>39</v>
      </c>
      <c r="B102" s="25" t="s">
        <v>175</v>
      </c>
      <c r="C102" s="23">
        <v>0.5</v>
      </c>
      <c r="D102" s="23">
        <v>3000</v>
      </c>
      <c r="E102" s="24">
        <v>1500</v>
      </c>
      <c r="F102" s="25" t="s">
        <v>193</v>
      </c>
    </row>
    <row r="103" spans="1:6" ht="15.75" customHeight="1" x14ac:dyDescent="0.3">
      <c r="A103" s="28" t="s">
        <v>9</v>
      </c>
      <c r="B103" s="28" t="s">
        <v>9</v>
      </c>
      <c r="C103" s="26">
        <v>106.5</v>
      </c>
      <c r="D103" s="26">
        <v>7000</v>
      </c>
      <c r="E103" s="27">
        <v>745500</v>
      </c>
      <c r="F103" s="28" t="s">
        <v>193</v>
      </c>
    </row>
    <row r="104" spans="1:6" ht="15.75" customHeight="1" x14ac:dyDescent="0.3">
      <c r="A104" s="25" t="s">
        <v>54</v>
      </c>
      <c r="B104" s="25" t="s">
        <v>10</v>
      </c>
      <c r="C104" s="23">
        <v>21</v>
      </c>
      <c r="D104" s="23">
        <v>3500</v>
      </c>
      <c r="E104" s="24">
        <v>73500</v>
      </c>
      <c r="F104" s="25" t="s">
        <v>193</v>
      </c>
    </row>
    <row r="105" spans="1:6" ht="15.75" customHeight="1" x14ac:dyDescent="0.3">
      <c r="A105" s="28" t="s">
        <v>54</v>
      </c>
      <c r="B105" s="28" t="s">
        <v>115</v>
      </c>
      <c r="C105" s="26">
        <v>4.5</v>
      </c>
      <c r="D105" s="26">
        <v>3000</v>
      </c>
      <c r="E105" s="27">
        <v>13500</v>
      </c>
      <c r="F105" s="28" t="s">
        <v>193</v>
      </c>
    </row>
    <row r="106" spans="1:6" ht="15.75" customHeight="1" x14ac:dyDescent="0.3">
      <c r="A106" s="25" t="s">
        <v>21</v>
      </c>
      <c r="B106" s="25" t="s">
        <v>119</v>
      </c>
      <c r="C106" s="23">
        <v>30</v>
      </c>
      <c r="D106" s="23">
        <v>12500</v>
      </c>
      <c r="E106" s="24">
        <v>375000</v>
      </c>
      <c r="F106" s="25" t="s">
        <v>193</v>
      </c>
    </row>
    <row r="107" spans="1:6" ht="15.75" customHeight="1" x14ac:dyDescent="0.3">
      <c r="A107" s="28" t="s">
        <v>21</v>
      </c>
      <c r="B107" s="28" t="s">
        <v>125</v>
      </c>
      <c r="C107" s="26">
        <v>66</v>
      </c>
      <c r="D107" s="26">
        <v>11000</v>
      </c>
      <c r="E107" s="27">
        <v>726000</v>
      </c>
      <c r="F107" s="28" t="s">
        <v>193</v>
      </c>
    </row>
    <row r="108" spans="1:6" ht="15.75" customHeight="1" x14ac:dyDescent="0.3">
      <c r="A108" s="25" t="s">
        <v>21</v>
      </c>
      <c r="B108" s="25" t="s">
        <v>112</v>
      </c>
      <c r="C108" s="23">
        <v>14</v>
      </c>
      <c r="D108" s="23">
        <v>7000</v>
      </c>
      <c r="E108" s="24">
        <v>98000</v>
      </c>
      <c r="F108" s="25" t="s">
        <v>193</v>
      </c>
    </row>
    <row r="109" spans="1:6" ht="15.75" customHeight="1" x14ac:dyDescent="0.3">
      <c r="A109" s="28" t="s">
        <v>61</v>
      </c>
      <c r="B109" s="28" t="s">
        <v>114</v>
      </c>
      <c r="C109" s="26">
        <v>9</v>
      </c>
      <c r="D109" s="26">
        <v>10000</v>
      </c>
      <c r="E109" s="27">
        <v>90000</v>
      </c>
      <c r="F109" s="28" t="s">
        <v>193</v>
      </c>
    </row>
    <row r="110" spans="1:6" ht="15.75" customHeight="1" x14ac:dyDescent="0.3">
      <c r="A110" s="25" t="s">
        <v>61</v>
      </c>
      <c r="B110" s="25" t="s">
        <v>120</v>
      </c>
      <c r="C110" s="23">
        <v>7.5</v>
      </c>
      <c r="D110" s="23">
        <v>12000</v>
      </c>
      <c r="E110" s="24">
        <v>90000</v>
      </c>
      <c r="F110" s="25" t="s">
        <v>193</v>
      </c>
    </row>
    <row r="111" spans="1:6" ht="15.75" customHeight="1" x14ac:dyDescent="0.3">
      <c r="A111" s="28" t="s">
        <v>61</v>
      </c>
      <c r="B111" s="28" t="s">
        <v>120</v>
      </c>
      <c r="C111" s="26">
        <v>2</v>
      </c>
      <c r="D111" s="26">
        <v>12000</v>
      </c>
      <c r="E111" s="27">
        <v>24000</v>
      </c>
      <c r="F111" s="28" t="s">
        <v>193</v>
      </c>
    </row>
    <row r="112" spans="1:6" ht="15.75" customHeight="1" x14ac:dyDescent="0.3">
      <c r="A112" s="25" t="s">
        <v>61</v>
      </c>
      <c r="B112" s="25" t="s">
        <v>114</v>
      </c>
      <c r="C112" s="23">
        <v>3.5</v>
      </c>
      <c r="D112" s="23">
        <v>10000</v>
      </c>
      <c r="E112" s="24">
        <v>35000</v>
      </c>
      <c r="F112" s="25" t="s">
        <v>193</v>
      </c>
    </row>
    <row r="113" spans="1:6" ht="15.75" customHeight="1" x14ac:dyDescent="0.3">
      <c r="A113" s="28" t="s">
        <v>65</v>
      </c>
      <c r="B113" s="28" t="s">
        <v>176</v>
      </c>
      <c r="C113" s="26">
        <v>22</v>
      </c>
      <c r="D113" s="26">
        <v>8500</v>
      </c>
      <c r="E113" s="27">
        <v>187000</v>
      </c>
      <c r="F113" s="28" t="s">
        <v>193</v>
      </c>
    </row>
    <row r="114" spans="1:6" ht="15.75" customHeight="1" x14ac:dyDescent="0.3">
      <c r="A114" s="25" t="s">
        <v>65</v>
      </c>
      <c r="B114" s="25" t="s">
        <v>177</v>
      </c>
      <c r="C114" s="23">
        <v>165</v>
      </c>
      <c r="D114" s="23">
        <v>6500</v>
      </c>
      <c r="E114" s="24">
        <v>1072500</v>
      </c>
      <c r="F114" s="25" t="s">
        <v>193</v>
      </c>
    </row>
    <row r="115" spans="1:6" ht="15.75" customHeight="1" x14ac:dyDescent="0.3">
      <c r="A115" s="28" t="s">
        <v>65</v>
      </c>
      <c r="B115" s="28" t="s">
        <v>177</v>
      </c>
      <c r="C115" s="26">
        <v>524.5</v>
      </c>
      <c r="D115" s="26">
        <v>6600</v>
      </c>
      <c r="E115" s="27">
        <v>3461700</v>
      </c>
      <c r="F115" s="28" t="s">
        <v>193</v>
      </c>
    </row>
    <row r="116" spans="1:6" ht="15.75" customHeight="1" x14ac:dyDescent="0.3">
      <c r="A116" s="25" t="s">
        <v>65</v>
      </c>
      <c r="B116" s="25" t="s">
        <v>178</v>
      </c>
      <c r="C116" s="23">
        <v>1387</v>
      </c>
      <c r="D116" s="23">
        <v>6000</v>
      </c>
      <c r="E116" s="24">
        <v>8322000</v>
      </c>
      <c r="F116" s="25" t="s">
        <v>193</v>
      </c>
    </row>
    <row r="117" spans="1:6" ht="15.75" customHeight="1" x14ac:dyDescent="0.3">
      <c r="A117" s="28" t="s">
        <v>65</v>
      </c>
      <c r="B117" s="28" t="s">
        <v>179</v>
      </c>
      <c r="C117" s="26">
        <v>2438</v>
      </c>
      <c r="D117" s="26">
        <v>6400</v>
      </c>
      <c r="E117" s="27">
        <v>15603200</v>
      </c>
      <c r="F117" s="28" t="s">
        <v>193</v>
      </c>
    </row>
    <row r="118" spans="1:6" ht="15.75" customHeight="1" x14ac:dyDescent="0.3">
      <c r="A118" s="25" t="s">
        <v>65</v>
      </c>
      <c r="B118" s="25" t="s">
        <v>177</v>
      </c>
      <c r="C118" s="23">
        <v>1044.5</v>
      </c>
      <c r="D118" s="23">
        <v>7000</v>
      </c>
      <c r="E118" s="24">
        <v>7311500</v>
      </c>
      <c r="F118" s="25" t="s">
        <v>193</v>
      </c>
    </row>
    <row r="119" spans="1:6" ht="15.75" customHeight="1" x14ac:dyDescent="0.3">
      <c r="A119" s="28" t="s">
        <v>65</v>
      </c>
      <c r="B119" s="28" t="s">
        <v>176</v>
      </c>
      <c r="C119" s="26">
        <v>18.5</v>
      </c>
      <c r="D119" s="26">
        <v>8000</v>
      </c>
      <c r="E119" s="27">
        <v>148000</v>
      </c>
      <c r="F119" s="28" t="s">
        <v>193</v>
      </c>
    </row>
    <row r="120" spans="1:6" ht="15.75" customHeight="1" x14ac:dyDescent="0.3">
      <c r="A120" s="25" t="s">
        <v>11</v>
      </c>
      <c r="B120" s="25" t="s">
        <v>126</v>
      </c>
      <c r="C120" s="23">
        <v>147</v>
      </c>
      <c r="D120" s="23">
        <v>13000</v>
      </c>
      <c r="E120" s="24">
        <v>1911000</v>
      </c>
      <c r="F120" s="25" t="s">
        <v>193</v>
      </c>
    </row>
    <row r="121" spans="1:6" ht="15.75" customHeight="1" x14ac:dyDescent="0.3">
      <c r="A121" s="28" t="s">
        <v>11</v>
      </c>
      <c r="B121" s="28" t="s">
        <v>126</v>
      </c>
      <c r="C121" s="26">
        <v>43.5</v>
      </c>
      <c r="D121" s="26">
        <v>12500</v>
      </c>
      <c r="E121" s="27">
        <v>543750</v>
      </c>
      <c r="F121" s="28" t="s">
        <v>193</v>
      </c>
    </row>
    <row r="122" spans="1:6" ht="15.75" customHeight="1" x14ac:dyDescent="0.3">
      <c r="A122" s="25" t="s">
        <v>11</v>
      </c>
      <c r="B122" s="25" t="s">
        <v>127</v>
      </c>
      <c r="C122" s="23">
        <v>13.5</v>
      </c>
      <c r="D122" s="23">
        <v>9500</v>
      </c>
      <c r="E122" s="24">
        <v>128250</v>
      </c>
      <c r="F122" s="25" t="s">
        <v>193</v>
      </c>
    </row>
    <row r="123" spans="1:6" ht="15.75" customHeight="1" x14ac:dyDescent="0.3">
      <c r="A123" s="28" t="s">
        <v>11</v>
      </c>
      <c r="B123" s="28" t="s">
        <v>126</v>
      </c>
      <c r="C123" s="26">
        <v>146</v>
      </c>
      <c r="D123" s="26">
        <v>11500</v>
      </c>
      <c r="E123" s="27">
        <v>1679000</v>
      </c>
      <c r="F123" s="28" t="s">
        <v>193</v>
      </c>
    </row>
    <row r="124" spans="1:6" ht="15.75" customHeight="1" x14ac:dyDescent="0.3">
      <c r="A124" s="25" t="s">
        <v>11</v>
      </c>
      <c r="B124" s="25" t="s">
        <v>127</v>
      </c>
      <c r="C124" s="23">
        <v>7.5</v>
      </c>
      <c r="D124" s="23">
        <v>11000</v>
      </c>
      <c r="E124" s="24">
        <v>82500</v>
      </c>
      <c r="F124" s="25" t="s">
        <v>193</v>
      </c>
    </row>
    <row r="125" spans="1:6" ht="15.75" customHeight="1" x14ac:dyDescent="0.3">
      <c r="A125" s="28" t="s">
        <v>31</v>
      </c>
      <c r="B125" s="28" t="s">
        <v>180</v>
      </c>
      <c r="C125" s="26">
        <v>28.5</v>
      </c>
      <c r="D125" s="26">
        <v>22000</v>
      </c>
      <c r="E125" s="27">
        <v>627000</v>
      </c>
      <c r="F125" s="28" t="s">
        <v>193</v>
      </c>
    </row>
    <row r="126" spans="1:6" ht="15.75" customHeight="1" x14ac:dyDescent="0.3">
      <c r="A126" s="25" t="s">
        <v>31</v>
      </c>
      <c r="B126" s="25" t="s">
        <v>128</v>
      </c>
      <c r="C126" s="23">
        <v>27</v>
      </c>
      <c r="D126" s="23">
        <v>22000</v>
      </c>
      <c r="E126" s="24">
        <v>594000</v>
      </c>
      <c r="F126" s="25" t="s">
        <v>193</v>
      </c>
    </row>
    <row r="127" spans="1:6" ht="15.75" customHeight="1" x14ac:dyDescent="0.3">
      <c r="A127" s="28" t="s">
        <v>31</v>
      </c>
      <c r="B127" s="28" t="s">
        <v>129</v>
      </c>
      <c r="C127" s="26">
        <v>19</v>
      </c>
      <c r="D127" s="26">
        <v>17500</v>
      </c>
      <c r="E127" s="27">
        <v>332500</v>
      </c>
      <c r="F127" s="28" t="s">
        <v>193</v>
      </c>
    </row>
    <row r="128" spans="1:6" ht="15.75" customHeight="1" x14ac:dyDescent="0.3">
      <c r="A128" s="25" t="s">
        <v>31</v>
      </c>
      <c r="B128" s="25" t="s">
        <v>130</v>
      </c>
      <c r="C128" s="23">
        <v>21.5</v>
      </c>
      <c r="D128" s="23">
        <v>20000</v>
      </c>
      <c r="E128" s="24">
        <v>430000</v>
      </c>
      <c r="F128" s="25" t="s">
        <v>193</v>
      </c>
    </row>
    <row r="129" spans="1:6" ht="15.75" customHeight="1" x14ac:dyDescent="0.3">
      <c r="A129" s="28" t="s">
        <v>31</v>
      </c>
      <c r="B129" s="28" t="s">
        <v>131</v>
      </c>
      <c r="C129" s="26">
        <v>1</v>
      </c>
      <c r="D129" s="26">
        <v>14000</v>
      </c>
      <c r="E129" s="27">
        <v>14000</v>
      </c>
      <c r="F129" s="28" t="s">
        <v>193</v>
      </c>
    </row>
    <row r="130" spans="1:6" ht="15.75" customHeight="1" x14ac:dyDescent="0.3">
      <c r="A130" s="25" t="s">
        <v>14</v>
      </c>
      <c r="B130" s="25" t="s">
        <v>14</v>
      </c>
      <c r="C130" s="23">
        <v>206.5</v>
      </c>
      <c r="D130" s="23">
        <v>9500</v>
      </c>
      <c r="E130" s="24">
        <v>1961750</v>
      </c>
      <c r="F130" s="25" t="s">
        <v>193</v>
      </c>
    </row>
    <row r="131" spans="1:6" ht="15.75" customHeight="1" x14ac:dyDescent="0.3">
      <c r="A131" s="28" t="s">
        <v>14</v>
      </c>
      <c r="B131" s="28" t="s">
        <v>14</v>
      </c>
      <c r="C131" s="26">
        <v>387.5</v>
      </c>
      <c r="D131" s="26">
        <v>9000</v>
      </c>
      <c r="E131" s="27">
        <v>3487500</v>
      </c>
      <c r="F131" s="28" t="s">
        <v>193</v>
      </c>
    </row>
    <row r="132" spans="1:6" ht="15.75" customHeight="1" x14ac:dyDescent="0.3">
      <c r="A132" s="25" t="s">
        <v>14</v>
      </c>
      <c r="B132" s="25" t="s">
        <v>14</v>
      </c>
      <c r="C132" s="23">
        <v>128.5</v>
      </c>
      <c r="D132" s="23">
        <v>8500</v>
      </c>
      <c r="E132" s="24">
        <v>1092250</v>
      </c>
      <c r="F132" s="25" t="s">
        <v>193</v>
      </c>
    </row>
    <row r="133" spans="1:6" ht="15.75" customHeight="1" x14ac:dyDescent="0.3">
      <c r="A133" s="28" t="s">
        <v>14</v>
      </c>
      <c r="B133" s="28" t="s">
        <v>116</v>
      </c>
      <c r="C133" s="26">
        <v>105.5</v>
      </c>
      <c r="D133" s="26">
        <v>8000</v>
      </c>
      <c r="E133" s="27">
        <v>844000</v>
      </c>
      <c r="F133" s="28" t="s">
        <v>193</v>
      </c>
    </row>
    <row r="134" spans="1:6" ht="15.75" customHeight="1" x14ac:dyDescent="0.3">
      <c r="A134" s="25" t="s">
        <v>14</v>
      </c>
      <c r="B134" s="25" t="s">
        <v>116</v>
      </c>
      <c r="C134" s="23">
        <v>28</v>
      </c>
      <c r="D134" s="23">
        <v>7500</v>
      </c>
      <c r="E134" s="24">
        <v>210000</v>
      </c>
      <c r="F134" s="25" t="s">
        <v>193</v>
      </c>
    </row>
    <row r="135" spans="1:6" ht="15.75" customHeight="1" x14ac:dyDescent="0.3">
      <c r="A135" s="28" t="s">
        <v>14</v>
      </c>
      <c r="B135" s="28" t="s">
        <v>116</v>
      </c>
      <c r="C135" s="26">
        <v>50.5</v>
      </c>
      <c r="D135" s="26">
        <v>6500</v>
      </c>
      <c r="E135" s="27">
        <v>328250</v>
      </c>
      <c r="F135" s="28" t="s">
        <v>193</v>
      </c>
    </row>
    <row r="136" spans="1:6" ht="15.75" customHeight="1" x14ac:dyDescent="0.3">
      <c r="A136" s="25" t="s">
        <v>44</v>
      </c>
      <c r="B136" s="25" t="s">
        <v>15</v>
      </c>
      <c r="C136" s="23">
        <v>494</v>
      </c>
      <c r="D136" s="23">
        <v>8500</v>
      </c>
      <c r="E136" s="24">
        <v>4199000</v>
      </c>
      <c r="F136" s="25" t="s">
        <v>193</v>
      </c>
    </row>
    <row r="137" spans="1:6" ht="15.75" customHeight="1" x14ac:dyDescent="0.3">
      <c r="A137" s="28" t="s">
        <v>44</v>
      </c>
      <c r="B137" s="28" t="s">
        <v>15</v>
      </c>
      <c r="C137" s="26">
        <v>199.5</v>
      </c>
      <c r="D137" s="26">
        <v>8000</v>
      </c>
      <c r="E137" s="27">
        <v>1596000</v>
      </c>
      <c r="F137" s="28" t="s">
        <v>193</v>
      </c>
    </row>
    <row r="138" spans="1:6" ht="15.75" customHeight="1" x14ac:dyDescent="0.3">
      <c r="A138" s="25" t="s">
        <v>44</v>
      </c>
      <c r="B138" s="25" t="s">
        <v>15</v>
      </c>
      <c r="C138" s="23">
        <v>10.5</v>
      </c>
      <c r="D138" s="23">
        <v>8300</v>
      </c>
      <c r="E138" s="24">
        <v>87150</v>
      </c>
      <c r="F138" s="25" t="s">
        <v>193</v>
      </c>
    </row>
    <row r="139" spans="1:6" ht="15.75" customHeight="1" x14ac:dyDescent="0.3">
      <c r="A139" s="28" t="s">
        <v>44</v>
      </c>
      <c r="B139" s="28" t="s">
        <v>15</v>
      </c>
      <c r="C139" s="26">
        <v>247.5</v>
      </c>
      <c r="D139" s="26">
        <v>7500</v>
      </c>
      <c r="E139" s="27">
        <v>1856250</v>
      </c>
      <c r="F139" s="28" t="s">
        <v>193</v>
      </c>
    </row>
    <row r="140" spans="1:6" ht="15.75" customHeight="1" x14ac:dyDescent="0.3">
      <c r="A140" s="25" t="s">
        <v>44</v>
      </c>
      <c r="B140" s="25" t="s">
        <v>181</v>
      </c>
      <c r="C140" s="23">
        <v>70</v>
      </c>
      <c r="D140" s="23">
        <v>9000</v>
      </c>
      <c r="E140" s="24">
        <v>630000</v>
      </c>
      <c r="F140" s="25" t="s">
        <v>193</v>
      </c>
    </row>
    <row r="141" spans="1:6" ht="15.75" customHeight="1" x14ac:dyDescent="0.3">
      <c r="A141" s="28" t="s">
        <v>44</v>
      </c>
      <c r="B141" s="28" t="s">
        <v>106</v>
      </c>
      <c r="C141" s="26">
        <v>45</v>
      </c>
      <c r="D141" s="26">
        <v>11000</v>
      </c>
      <c r="E141" s="27">
        <v>495000</v>
      </c>
      <c r="F141" s="28" t="s">
        <v>193</v>
      </c>
    </row>
    <row r="142" spans="1:6" ht="15.75" customHeight="1" x14ac:dyDescent="0.3">
      <c r="A142" s="25" t="s">
        <v>44</v>
      </c>
      <c r="B142" s="25" t="s">
        <v>106</v>
      </c>
      <c r="C142" s="23">
        <v>20.5</v>
      </c>
      <c r="D142" s="23">
        <v>10500</v>
      </c>
      <c r="E142" s="24">
        <v>215250</v>
      </c>
      <c r="F142" s="25" t="s">
        <v>193</v>
      </c>
    </row>
    <row r="143" spans="1:6" ht="15.75" customHeight="1" x14ac:dyDescent="0.3">
      <c r="A143" s="28" t="s">
        <v>46</v>
      </c>
      <c r="B143" s="28" t="s">
        <v>103</v>
      </c>
      <c r="C143" s="26">
        <v>6</v>
      </c>
      <c r="D143" s="26">
        <v>10500</v>
      </c>
      <c r="E143" s="27">
        <v>63000</v>
      </c>
      <c r="F143" s="28" t="s">
        <v>193</v>
      </c>
    </row>
    <row r="144" spans="1:6" ht="15.75" customHeight="1" x14ac:dyDescent="0.3">
      <c r="A144" s="25" t="s">
        <v>3</v>
      </c>
      <c r="B144" s="25" t="s">
        <v>144</v>
      </c>
      <c r="C144" s="23">
        <v>11.5</v>
      </c>
      <c r="D144" s="23">
        <v>12000</v>
      </c>
      <c r="E144" s="24">
        <v>138000</v>
      </c>
      <c r="F144" s="25" t="s">
        <v>193</v>
      </c>
    </row>
    <row r="145" spans="1:6" ht="15.75" customHeight="1" x14ac:dyDescent="0.3">
      <c r="A145" s="28" t="s">
        <v>3</v>
      </c>
      <c r="B145" s="28" t="s">
        <v>144</v>
      </c>
      <c r="C145" s="26">
        <v>1708.5</v>
      </c>
      <c r="D145" s="26">
        <v>11000</v>
      </c>
      <c r="E145" s="27">
        <v>18793500</v>
      </c>
      <c r="F145" s="28" t="s">
        <v>193</v>
      </c>
    </row>
    <row r="146" spans="1:6" ht="15.75" customHeight="1" x14ac:dyDescent="0.3">
      <c r="A146" s="25" t="s">
        <v>25</v>
      </c>
      <c r="B146" s="25" t="s">
        <v>182</v>
      </c>
      <c r="C146" s="23">
        <v>1.5</v>
      </c>
      <c r="D146" s="23">
        <v>12500</v>
      </c>
      <c r="E146" s="24">
        <v>18750</v>
      </c>
      <c r="F146" s="25" t="s">
        <v>193</v>
      </c>
    </row>
    <row r="147" spans="1:6" ht="15.75" customHeight="1" x14ac:dyDescent="0.3">
      <c r="A147" s="28" t="s">
        <v>25</v>
      </c>
      <c r="B147" s="28" t="s">
        <v>183</v>
      </c>
      <c r="C147" s="26">
        <v>1</v>
      </c>
      <c r="D147" s="26">
        <v>11500</v>
      </c>
      <c r="E147" s="27">
        <v>11500</v>
      </c>
      <c r="F147" s="28" t="s">
        <v>193</v>
      </c>
    </row>
    <row r="148" spans="1:6" ht="15.75" customHeight="1" x14ac:dyDescent="0.3">
      <c r="A148" s="25" t="s">
        <v>4</v>
      </c>
      <c r="B148" s="25" t="s">
        <v>4</v>
      </c>
      <c r="C148" s="23">
        <v>33.5</v>
      </c>
      <c r="D148" s="23">
        <v>16000</v>
      </c>
      <c r="E148" s="24">
        <v>536000</v>
      </c>
      <c r="F148" s="25" t="s">
        <v>193</v>
      </c>
    </row>
    <row r="149" spans="1:6" ht="15.75" customHeight="1" x14ac:dyDescent="0.3">
      <c r="A149" s="28" t="s">
        <v>16</v>
      </c>
      <c r="B149" s="28" t="s">
        <v>133</v>
      </c>
      <c r="C149" s="26">
        <v>8</v>
      </c>
      <c r="D149" s="26">
        <v>6000</v>
      </c>
      <c r="E149" s="27">
        <v>48000</v>
      </c>
      <c r="F149" s="28" t="s">
        <v>193</v>
      </c>
    </row>
    <row r="150" spans="1:6" ht="15.75" customHeight="1" x14ac:dyDescent="0.3">
      <c r="A150" s="25" t="s">
        <v>59</v>
      </c>
      <c r="B150" s="25" t="s">
        <v>184</v>
      </c>
      <c r="C150" s="23">
        <v>1</v>
      </c>
      <c r="D150" s="23">
        <v>9500</v>
      </c>
      <c r="E150" s="24">
        <v>9500</v>
      </c>
      <c r="F150" s="25" t="s">
        <v>193</v>
      </c>
    </row>
    <row r="151" spans="1:6" ht="15.75" customHeight="1" x14ac:dyDescent="0.3">
      <c r="A151" s="28" t="s">
        <v>90</v>
      </c>
      <c r="B151" s="28" t="s">
        <v>99</v>
      </c>
      <c r="C151" s="26">
        <v>77.5</v>
      </c>
      <c r="D151" s="26">
        <v>12000</v>
      </c>
      <c r="E151" s="27">
        <v>930000</v>
      </c>
      <c r="F151" s="28" t="s">
        <v>193</v>
      </c>
    </row>
    <row r="152" spans="1:6" ht="15.75" customHeight="1" x14ac:dyDescent="0.3">
      <c r="A152" s="25" t="s">
        <v>5</v>
      </c>
      <c r="B152" s="25" t="s">
        <v>121</v>
      </c>
      <c r="C152" s="23">
        <v>3.5</v>
      </c>
      <c r="D152" s="23">
        <v>10000</v>
      </c>
      <c r="E152" s="24">
        <v>35000</v>
      </c>
      <c r="F152" s="25" t="s">
        <v>193</v>
      </c>
    </row>
    <row r="153" spans="1:6" ht="15.75" customHeight="1" x14ac:dyDescent="0.3">
      <c r="A153" s="28" t="s">
        <v>5</v>
      </c>
      <c r="B153" s="28" t="s">
        <v>121</v>
      </c>
      <c r="C153" s="26">
        <v>44.5</v>
      </c>
      <c r="D153" s="26">
        <v>9000</v>
      </c>
      <c r="E153" s="27">
        <v>400500</v>
      </c>
      <c r="F153" s="28" t="s">
        <v>193</v>
      </c>
    </row>
    <row r="154" spans="1:6" ht="15.75" customHeight="1" x14ac:dyDescent="0.3">
      <c r="A154" s="25" t="s">
        <v>90</v>
      </c>
      <c r="B154" s="25" t="s">
        <v>6</v>
      </c>
      <c r="C154" s="23">
        <v>26.5</v>
      </c>
      <c r="D154" s="23">
        <v>5000</v>
      </c>
      <c r="E154" s="24">
        <v>132500</v>
      </c>
      <c r="F154" s="25" t="s">
        <v>193</v>
      </c>
    </row>
    <row r="155" spans="1:6" ht="15.75" customHeight="1" x14ac:dyDescent="0.3">
      <c r="A155" s="28" t="s">
        <v>90</v>
      </c>
      <c r="B155" s="28" t="s">
        <v>122</v>
      </c>
      <c r="C155" s="26">
        <v>20.5</v>
      </c>
      <c r="D155" s="26">
        <v>4000</v>
      </c>
      <c r="E155" s="27">
        <v>82000</v>
      </c>
      <c r="F155" s="28" t="s">
        <v>193</v>
      </c>
    </row>
    <row r="156" spans="1:6" ht="15.75" customHeight="1" x14ac:dyDescent="0.3">
      <c r="A156" s="25" t="s">
        <v>90</v>
      </c>
      <c r="B156" s="25" t="s">
        <v>153</v>
      </c>
      <c r="C156" s="23">
        <v>9.5</v>
      </c>
      <c r="D156" s="23">
        <v>9000</v>
      </c>
      <c r="E156" s="24">
        <v>85500</v>
      </c>
      <c r="F156" s="25" t="s">
        <v>193</v>
      </c>
    </row>
    <row r="157" spans="1:6" ht="15.75" customHeight="1" x14ac:dyDescent="0.3">
      <c r="A157" s="28" t="s">
        <v>39</v>
      </c>
      <c r="B157" s="28" t="s">
        <v>123</v>
      </c>
      <c r="C157" s="26">
        <v>1.5</v>
      </c>
      <c r="D157" s="26">
        <v>16000</v>
      </c>
      <c r="E157" s="27">
        <v>24000</v>
      </c>
      <c r="F157" s="28" t="s">
        <v>193</v>
      </c>
    </row>
    <row r="158" spans="1:6" ht="15.75" customHeight="1" x14ac:dyDescent="0.3">
      <c r="A158" s="25" t="s">
        <v>39</v>
      </c>
      <c r="B158" s="25" t="s">
        <v>98</v>
      </c>
      <c r="C158" s="23">
        <v>4.5</v>
      </c>
      <c r="D158" s="23">
        <v>11000</v>
      </c>
      <c r="E158" s="24">
        <v>49500</v>
      </c>
      <c r="F158" s="25" t="s">
        <v>193</v>
      </c>
    </row>
    <row r="159" spans="1:6" ht="15.75" customHeight="1" x14ac:dyDescent="0.3">
      <c r="A159" s="28" t="s">
        <v>9</v>
      </c>
      <c r="B159" s="28" t="s">
        <v>9</v>
      </c>
      <c r="C159" s="26">
        <v>42.5</v>
      </c>
      <c r="D159" s="26">
        <v>8000</v>
      </c>
      <c r="E159" s="27">
        <v>340000</v>
      </c>
      <c r="F159" s="28" t="s">
        <v>193</v>
      </c>
    </row>
    <row r="160" spans="1:6" ht="15.75" customHeight="1" x14ac:dyDescent="0.3">
      <c r="A160" s="25" t="s">
        <v>9</v>
      </c>
      <c r="B160" s="25" t="s">
        <v>9</v>
      </c>
      <c r="C160" s="23">
        <v>15.5</v>
      </c>
      <c r="D160" s="23">
        <v>7000</v>
      </c>
      <c r="E160" s="24">
        <v>108500</v>
      </c>
      <c r="F160" s="25" t="s">
        <v>193</v>
      </c>
    </row>
    <row r="161" spans="1:6" ht="15.75" customHeight="1" x14ac:dyDescent="0.3">
      <c r="A161" s="28" t="s">
        <v>54</v>
      </c>
      <c r="B161" s="28" t="s">
        <v>115</v>
      </c>
      <c r="C161" s="26">
        <v>6.5</v>
      </c>
      <c r="D161" s="26">
        <v>3500</v>
      </c>
      <c r="E161" s="27">
        <v>22750</v>
      </c>
      <c r="F161" s="28" t="s">
        <v>193</v>
      </c>
    </row>
    <row r="162" spans="1:6" ht="15.75" customHeight="1" x14ac:dyDescent="0.3">
      <c r="A162" s="25" t="s">
        <v>21</v>
      </c>
      <c r="B162" s="25" t="s">
        <v>118</v>
      </c>
      <c r="C162" s="23">
        <v>1</v>
      </c>
      <c r="D162" s="23">
        <v>13500</v>
      </c>
      <c r="E162" s="24">
        <v>13500</v>
      </c>
      <c r="F162" s="25" t="s">
        <v>193</v>
      </c>
    </row>
    <row r="163" spans="1:6" ht="15.75" customHeight="1" x14ac:dyDescent="0.3">
      <c r="A163" s="28" t="s">
        <v>21</v>
      </c>
      <c r="B163" s="28" t="s">
        <v>119</v>
      </c>
      <c r="C163" s="26">
        <v>25.5</v>
      </c>
      <c r="D163" s="26">
        <v>12500</v>
      </c>
      <c r="E163" s="27">
        <v>318750</v>
      </c>
      <c r="F163" s="28" t="s">
        <v>193</v>
      </c>
    </row>
    <row r="164" spans="1:6" ht="15.75" customHeight="1" x14ac:dyDescent="0.3">
      <c r="A164" s="25" t="s">
        <v>21</v>
      </c>
      <c r="B164" s="25" t="s">
        <v>125</v>
      </c>
      <c r="C164" s="23">
        <v>34</v>
      </c>
      <c r="D164" s="23">
        <v>11000</v>
      </c>
      <c r="E164" s="24">
        <v>374000</v>
      </c>
      <c r="F164" s="25" t="s">
        <v>193</v>
      </c>
    </row>
    <row r="165" spans="1:6" ht="15.75" customHeight="1" x14ac:dyDescent="0.3">
      <c r="A165" s="28" t="s">
        <v>21</v>
      </c>
      <c r="B165" s="28" t="s">
        <v>112</v>
      </c>
      <c r="C165" s="26">
        <v>12.5</v>
      </c>
      <c r="D165" s="26">
        <v>7000</v>
      </c>
      <c r="E165" s="27">
        <v>87500</v>
      </c>
      <c r="F165" s="28" t="s">
        <v>193</v>
      </c>
    </row>
    <row r="166" spans="1:6" ht="15.75" customHeight="1" x14ac:dyDescent="0.3">
      <c r="A166" s="25" t="s">
        <v>61</v>
      </c>
      <c r="B166" s="25" t="s">
        <v>114</v>
      </c>
      <c r="C166" s="23">
        <v>12</v>
      </c>
      <c r="D166" s="23">
        <v>9000</v>
      </c>
      <c r="E166" s="24">
        <v>108000</v>
      </c>
      <c r="F166" s="25" t="s">
        <v>193</v>
      </c>
    </row>
    <row r="167" spans="1:6" ht="15.75" customHeight="1" x14ac:dyDescent="0.3">
      <c r="A167" s="28" t="s">
        <v>65</v>
      </c>
      <c r="B167" s="28" t="s">
        <v>177</v>
      </c>
      <c r="C167" s="26">
        <v>134</v>
      </c>
      <c r="D167" s="26">
        <v>6500</v>
      </c>
      <c r="E167" s="27">
        <v>871000</v>
      </c>
      <c r="F167" s="28" t="s">
        <v>193</v>
      </c>
    </row>
    <row r="168" spans="1:6" ht="15.75" customHeight="1" x14ac:dyDescent="0.3">
      <c r="A168" s="25" t="s">
        <v>65</v>
      </c>
      <c r="B168" s="25" t="s">
        <v>177</v>
      </c>
      <c r="C168" s="23">
        <v>586.5</v>
      </c>
      <c r="D168" s="23">
        <v>6600</v>
      </c>
      <c r="E168" s="24">
        <v>3870900</v>
      </c>
      <c r="F168" s="25" t="s">
        <v>193</v>
      </c>
    </row>
    <row r="169" spans="1:6" ht="15.75" customHeight="1" x14ac:dyDescent="0.3">
      <c r="A169" s="28" t="s">
        <v>65</v>
      </c>
      <c r="B169" s="28" t="s">
        <v>177</v>
      </c>
      <c r="C169" s="26">
        <v>899.5</v>
      </c>
      <c r="D169" s="26">
        <v>7000</v>
      </c>
      <c r="E169" s="27">
        <v>6296500</v>
      </c>
      <c r="F169" s="28" t="s">
        <v>193</v>
      </c>
    </row>
    <row r="170" spans="1:6" ht="15.75" customHeight="1" x14ac:dyDescent="0.3">
      <c r="A170" s="25" t="s">
        <v>65</v>
      </c>
      <c r="B170" s="25" t="s">
        <v>176</v>
      </c>
      <c r="C170" s="23">
        <v>19</v>
      </c>
      <c r="D170" s="23">
        <v>8000</v>
      </c>
      <c r="E170" s="24">
        <v>152000</v>
      </c>
      <c r="F170" s="25" t="s">
        <v>193</v>
      </c>
    </row>
    <row r="171" spans="1:6" ht="15.75" customHeight="1" x14ac:dyDescent="0.3">
      <c r="A171" s="28" t="s">
        <v>65</v>
      </c>
      <c r="B171" s="28" t="s">
        <v>178</v>
      </c>
      <c r="C171" s="26">
        <v>2800.5</v>
      </c>
      <c r="D171" s="26">
        <v>6000</v>
      </c>
      <c r="E171" s="27">
        <v>16803000</v>
      </c>
      <c r="F171" s="28" t="s">
        <v>193</v>
      </c>
    </row>
    <row r="172" spans="1:6" ht="15.75" customHeight="1" x14ac:dyDescent="0.3">
      <c r="A172" s="25" t="s">
        <v>11</v>
      </c>
      <c r="B172" s="25" t="s">
        <v>126</v>
      </c>
      <c r="C172" s="23">
        <v>156</v>
      </c>
      <c r="D172" s="23">
        <v>11500</v>
      </c>
      <c r="E172" s="24">
        <v>1794000</v>
      </c>
      <c r="F172" s="25" t="s">
        <v>193</v>
      </c>
    </row>
    <row r="173" spans="1:6" ht="15.75" customHeight="1" x14ac:dyDescent="0.3">
      <c r="A173" s="28" t="s">
        <v>11</v>
      </c>
      <c r="B173" s="28" t="s">
        <v>127</v>
      </c>
      <c r="C173" s="26">
        <v>47.5</v>
      </c>
      <c r="D173" s="26">
        <v>9500</v>
      </c>
      <c r="E173" s="27">
        <v>451250</v>
      </c>
      <c r="F173" s="28" t="s">
        <v>193</v>
      </c>
    </row>
    <row r="174" spans="1:6" ht="15.75" customHeight="1" x14ac:dyDescent="0.3">
      <c r="A174" s="25" t="s">
        <v>14</v>
      </c>
      <c r="B174" s="25" t="s">
        <v>14</v>
      </c>
      <c r="C174" s="23">
        <v>51</v>
      </c>
      <c r="D174" s="23">
        <v>9000</v>
      </c>
      <c r="E174" s="24">
        <v>459000</v>
      </c>
      <c r="F174" s="25" t="s">
        <v>193</v>
      </c>
    </row>
    <row r="175" spans="1:6" ht="15.75" customHeight="1" x14ac:dyDescent="0.3">
      <c r="A175" s="28" t="s">
        <v>14</v>
      </c>
      <c r="B175" s="28" t="s">
        <v>14</v>
      </c>
      <c r="C175" s="26">
        <v>404</v>
      </c>
      <c r="D175" s="26">
        <v>8500</v>
      </c>
      <c r="E175" s="27">
        <v>3434000</v>
      </c>
      <c r="F175" s="28" t="s">
        <v>193</v>
      </c>
    </row>
    <row r="176" spans="1:6" ht="15.75" customHeight="1" x14ac:dyDescent="0.3">
      <c r="A176" s="25" t="s">
        <v>14</v>
      </c>
      <c r="B176" s="25" t="s">
        <v>116</v>
      </c>
      <c r="C176" s="23">
        <v>3</v>
      </c>
      <c r="D176" s="23">
        <v>7500</v>
      </c>
      <c r="E176" s="24">
        <v>22500</v>
      </c>
      <c r="F176" s="25" t="s">
        <v>193</v>
      </c>
    </row>
    <row r="177" spans="1:6" ht="15.75" customHeight="1" x14ac:dyDescent="0.3">
      <c r="A177" s="28" t="s">
        <v>14</v>
      </c>
      <c r="B177" s="28" t="s">
        <v>116</v>
      </c>
      <c r="C177" s="26">
        <v>78.5</v>
      </c>
      <c r="D177" s="26">
        <v>6500</v>
      </c>
      <c r="E177" s="27">
        <v>510250</v>
      </c>
      <c r="F177" s="28" t="s">
        <v>193</v>
      </c>
    </row>
    <row r="178" spans="1:6" ht="15.75" customHeight="1" x14ac:dyDescent="0.3">
      <c r="A178" s="25" t="s">
        <v>44</v>
      </c>
      <c r="B178" s="25" t="s">
        <v>15</v>
      </c>
      <c r="C178" s="23">
        <v>53.5</v>
      </c>
      <c r="D178" s="23">
        <v>8500</v>
      </c>
      <c r="E178" s="24">
        <v>454750</v>
      </c>
      <c r="F178" s="25" t="s">
        <v>193</v>
      </c>
    </row>
    <row r="179" spans="1:6" ht="15.75" customHeight="1" x14ac:dyDescent="0.3">
      <c r="A179" s="28" t="s">
        <v>44</v>
      </c>
      <c r="B179" s="28" t="s">
        <v>15</v>
      </c>
      <c r="C179" s="26">
        <v>229</v>
      </c>
      <c r="D179" s="26">
        <v>7500</v>
      </c>
      <c r="E179" s="27">
        <v>1717500</v>
      </c>
      <c r="F179" s="28" t="s">
        <v>193</v>
      </c>
    </row>
    <row r="180" spans="1:6" ht="15.75" customHeight="1" x14ac:dyDescent="0.3">
      <c r="A180" s="25" t="s">
        <v>44</v>
      </c>
      <c r="B180" s="25" t="s">
        <v>140</v>
      </c>
      <c r="C180" s="23">
        <v>19.5</v>
      </c>
      <c r="D180" s="23">
        <v>9000</v>
      </c>
      <c r="E180" s="24">
        <v>175500</v>
      </c>
      <c r="F180" s="25" t="s">
        <v>193</v>
      </c>
    </row>
    <row r="181" spans="1:6" ht="15.75" customHeight="1" x14ac:dyDescent="0.3">
      <c r="A181" s="28" t="s">
        <v>46</v>
      </c>
      <c r="B181" s="28" t="s">
        <v>103</v>
      </c>
      <c r="C181" s="26">
        <v>16.5</v>
      </c>
      <c r="D181" s="26">
        <v>10500</v>
      </c>
      <c r="E181" s="27">
        <v>173250</v>
      </c>
      <c r="F181" s="28" t="s">
        <v>193</v>
      </c>
    </row>
    <row r="182" spans="1:6" ht="14.25" customHeight="1" x14ac:dyDescent="0.3">
      <c r="A182" s="25" t="s">
        <v>3</v>
      </c>
      <c r="B182" s="25" t="s">
        <v>3</v>
      </c>
      <c r="C182" s="23">
        <v>11.5</v>
      </c>
      <c r="D182" s="23">
        <v>12000</v>
      </c>
      <c r="E182" s="24">
        <v>138000</v>
      </c>
      <c r="F182" s="25" t="s">
        <v>194</v>
      </c>
    </row>
    <row r="183" spans="1:6" ht="15" customHeight="1" x14ac:dyDescent="0.3">
      <c r="A183" s="28" t="s">
        <v>3</v>
      </c>
      <c r="B183" s="28" t="s">
        <v>144</v>
      </c>
      <c r="C183" s="26">
        <v>292.5</v>
      </c>
      <c r="D183" s="26">
        <v>11000</v>
      </c>
      <c r="E183" s="27">
        <v>3217500</v>
      </c>
      <c r="F183" s="28" t="s">
        <v>194</v>
      </c>
    </row>
    <row r="184" spans="1:6" ht="15" customHeight="1" x14ac:dyDescent="0.3">
      <c r="A184" s="25" t="s">
        <v>4</v>
      </c>
      <c r="B184" s="25" t="s">
        <v>4</v>
      </c>
      <c r="C184" s="23">
        <v>9</v>
      </c>
      <c r="D184" s="23">
        <v>16000</v>
      </c>
      <c r="E184" s="24">
        <v>144000</v>
      </c>
      <c r="F184" s="25" t="s">
        <v>194</v>
      </c>
    </row>
    <row r="185" spans="1:6" ht="15" customHeight="1" x14ac:dyDescent="0.3">
      <c r="A185" s="28" t="s">
        <v>16</v>
      </c>
      <c r="B185" s="28" t="s">
        <v>16</v>
      </c>
      <c r="C185" s="26">
        <v>21.5</v>
      </c>
      <c r="D185" s="26">
        <v>7000</v>
      </c>
      <c r="E185" s="27">
        <v>150500</v>
      </c>
      <c r="F185" s="28" t="s">
        <v>194</v>
      </c>
    </row>
    <row r="186" spans="1:6" ht="15" customHeight="1" x14ac:dyDescent="0.3">
      <c r="A186" s="25" t="s">
        <v>59</v>
      </c>
      <c r="B186" s="25" t="s">
        <v>185</v>
      </c>
      <c r="C186" s="23">
        <v>5.5</v>
      </c>
      <c r="D186" s="23">
        <v>11500</v>
      </c>
      <c r="E186" s="24">
        <v>63250</v>
      </c>
      <c r="F186" s="25" t="s">
        <v>194</v>
      </c>
    </row>
    <row r="187" spans="1:6" ht="15" customHeight="1" x14ac:dyDescent="0.3">
      <c r="A187" s="28" t="s">
        <v>59</v>
      </c>
      <c r="B187" s="28" t="s">
        <v>185</v>
      </c>
      <c r="C187" s="26">
        <v>4.5</v>
      </c>
      <c r="D187" s="26">
        <v>11000</v>
      </c>
      <c r="E187" s="27">
        <v>49500</v>
      </c>
      <c r="F187" s="28" t="s">
        <v>194</v>
      </c>
    </row>
    <row r="188" spans="1:6" ht="15" customHeight="1" x14ac:dyDescent="0.3">
      <c r="A188" s="25" t="s">
        <v>59</v>
      </c>
      <c r="B188" s="25" t="s">
        <v>148</v>
      </c>
      <c r="C188" s="23">
        <v>30</v>
      </c>
      <c r="D188" s="23">
        <v>10000</v>
      </c>
      <c r="E188" s="24">
        <v>300000</v>
      </c>
      <c r="F188" s="25" t="s">
        <v>194</v>
      </c>
    </row>
    <row r="189" spans="1:6" ht="15" customHeight="1" x14ac:dyDescent="0.3">
      <c r="A189" s="28" t="s">
        <v>59</v>
      </c>
      <c r="B189" s="28" t="s">
        <v>137</v>
      </c>
      <c r="C189" s="26">
        <v>3</v>
      </c>
      <c r="D189" s="26">
        <v>9500</v>
      </c>
      <c r="E189" s="27">
        <v>28500</v>
      </c>
      <c r="F189" s="28" t="s">
        <v>194</v>
      </c>
    </row>
    <row r="190" spans="1:6" ht="15" customHeight="1" x14ac:dyDescent="0.3">
      <c r="A190" s="25" t="s">
        <v>5</v>
      </c>
      <c r="B190" s="25" t="s">
        <v>121</v>
      </c>
      <c r="C190" s="23">
        <v>1.5</v>
      </c>
      <c r="D190" s="23">
        <v>9000</v>
      </c>
      <c r="E190" s="24">
        <v>13500</v>
      </c>
      <c r="F190" s="25" t="s">
        <v>194</v>
      </c>
    </row>
    <row r="191" spans="1:6" ht="15" customHeight="1" x14ac:dyDescent="0.3">
      <c r="A191" s="28" t="s">
        <v>90</v>
      </c>
      <c r="B191" s="28" t="s">
        <v>145</v>
      </c>
      <c r="C191" s="26">
        <v>1</v>
      </c>
      <c r="D191" s="26">
        <v>6000</v>
      </c>
      <c r="E191" s="27">
        <v>6000</v>
      </c>
      <c r="F191" s="28" t="s">
        <v>194</v>
      </c>
    </row>
    <row r="192" spans="1:6" ht="15.75" customHeight="1" x14ac:dyDescent="0.3">
      <c r="A192" s="25" t="s">
        <v>90</v>
      </c>
      <c r="B192" s="25" t="s">
        <v>150</v>
      </c>
      <c r="C192" s="23">
        <v>13</v>
      </c>
      <c r="D192" s="23">
        <v>5000</v>
      </c>
      <c r="E192" s="24">
        <v>65000</v>
      </c>
      <c r="F192" s="25" t="s">
        <v>194</v>
      </c>
    </row>
    <row r="193" spans="1:6" ht="15.75" customHeight="1" x14ac:dyDescent="0.3">
      <c r="A193" s="28" t="s">
        <v>90</v>
      </c>
      <c r="B193" s="28" t="s">
        <v>6</v>
      </c>
      <c r="C193" s="26">
        <v>21</v>
      </c>
      <c r="D193" s="26">
        <v>5000</v>
      </c>
      <c r="E193" s="27">
        <v>105000</v>
      </c>
      <c r="F193" s="28" t="s">
        <v>194</v>
      </c>
    </row>
    <row r="194" spans="1:6" ht="15.75" customHeight="1" x14ac:dyDescent="0.3">
      <c r="A194" s="25" t="s">
        <v>90</v>
      </c>
      <c r="B194" s="25" t="s">
        <v>122</v>
      </c>
      <c r="C194" s="23">
        <v>24</v>
      </c>
      <c r="D194" s="23">
        <v>4000</v>
      </c>
      <c r="E194" s="24">
        <v>96000</v>
      </c>
      <c r="F194" s="25" t="s">
        <v>194</v>
      </c>
    </row>
    <row r="195" spans="1:6" ht="15.75" customHeight="1" x14ac:dyDescent="0.3">
      <c r="A195" s="28" t="s">
        <v>90</v>
      </c>
      <c r="B195" s="28" t="s">
        <v>122</v>
      </c>
      <c r="C195" s="26">
        <v>8</v>
      </c>
      <c r="D195" s="26">
        <v>6000</v>
      </c>
      <c r="E195" s="27">
        <v>48000</v>
      </c>
      <c r="F195" s="28" t="s">
        <v>194</v>
      </c>
    </row>
    <row r="196" spans="1:6" ht="15.75" customHeight="1" x14ac:dyDescent="0.3">
      <c r="A196" s="25" t="s">
        <v>90</v>
      </c>
      <c r="B196" s="25" t="s">
        <v>152</v>
      </c>
      <c r="C196" s="23">
        <v>5.5</v>
      </c>
      <c r="D196" s="23">
        <v>10000</v>
      </c>
      <c r="E196" s="24">
        <v>55000</v>
      </c>
      <c r="F196" s="25" t="s">
        <v>194</v>
      </c>
    </row>
    <row r="197" spans="1:6" ht="15.75" customHeight="1" x14ac:dyDescent="0.3">
      <c r="A197" s="28" t="s">
        <v>90</v>
      </c>
      <c r="B197" s="28" t="s">
        <v>97</v>
      </c>
      <c r="C197" s="26">
        <v>35.5</v>
      </c>
      <c r="D197" s="26">
        <v>11000</v>
      </c>
      <c r="E197" s="27">
        <v>390500</v>
      </c>
      <c r="F197" s="28" t="s">
        <v>194</v>
      </c>
    </row>
    <row r="198" spans="1:6" ht="15.75" customHeight="1" x14ac:dyDescent="0.3">
      <c r="A198" s="25" t="s">
        <v>39</v>
      </c>
      <c r="B198" s="25" t="s">
        <v>98</v>
      </c>
      <c r="C198" s="23">
        <v>0.5</v>
      </c>
      <c r="D198" s="23">
        <v>11000</v>
      </c>
      <c r="E198" s="24">
        <v>5500</v>
      </c>
      <c r="F198" s="25" t="s">
        <v>194</v>
      </c>
    </row>
    <row r="199" spans="1:6" ht="15.75" customHeight="1" x14ac:dyDescent="0.3">
      <c r="A199" s="28" t="s">
        <v>9</v>
      </c>
      <c r="B199" s="28" t="s">
        <v>9</v>
      </c>
      <c r="C199" s="26">
        <v>53.5</v>
      </c>
      <c r="D199" s="26">
        <v>7000</v>
      </c>
      <c r="E199" s="27">
        <v>374500</v>
      </c>
      <c r="F199" s="28" t="s">
        <v>194</v>
      </c>
    </row>
    <row r="200" spans="1:6" ht="15.75" customHeight="1" x14ac:dyDescent="0.3">
      <c r="A200" s="25" t="s">
        <v>9</v>
      </c>
      <c r="B200" s="25" t="s">
        <v>9</v>
      </c>
      <c r="C200" s="23">
        <v>23</v>
      </c>
      <c r="D200" s="23">
        <v>8000</v>
      </c>
      <c r="E200" s="24">
        <v>184000</v>
      </c>
      <c r="F200" s="25" t="s">
        <v>194</v>
      </c>
    </row>
    <row r="201" spans="1:6" ht="15.75" customHeight="1" x14ac:dyDescent="0.3">
      <c r="A201" s="28" t="s">
        <v>54</v>
      </c>
      <c r="B201" s="28" t="s">
        <v>115</v>
      </c>
      <c r="C201" s="26">
        <v>2.5</v>
      </c>
      <c r="D201" s="26">
        <v>3500</v>
      </c>
      <c r="E201" s="27">
        <v>8750</v>
      </c>
      <c r="F201" s="28" t="s">
        <v>194</v>
      </c>
    </row>
    <row r="202" spans="1:6" ht="15.75" customHeight="1" x14ac:dyDescent="0.3">
      <c r="A202" s="25" t="s">
        <v>21</v>
      </c>
      <c r="B202" s="25" t="s">
        <v>118</v>
      </c>
      <c r="C202" s="23">
        <v>4.5</v>
      </c>
      <c r="D202" s="23">
        <v>13000</v>
      </c>
      <c r="E202" s="24">
        <v>58500</v>
      </c>
      <c r="F202" s="25" t="s">
        <v>194</v>
      </c>
    </row>
    <row r="203" spans="1:6" ht="15.75" customHeight="1" x14ac:dyDescent="0.3">
      <c r="A203" s="28" t="s">
        <v>21</v>
      </c>
      <c r="B203" s="28" t="s">
        <v>119</v>
      </c>
      <c r="C203" s="26">
        <v>7.5</v>
      </c>
      <c r="D203" s="26">
        <v>13000</v>
      </c>
      <c r="E203" s="27">
        <v>97500</v>
      </c>
      <c r="F203" s="28" t="s">
        <v>194</v>
      </c>
    </row>
    <row r="204" spans="1:6" ht="15.75" customHeight="1" x14ac:dyDescent="0.3">
      <c r="A204" s="25" t="s">
        <v>21</v>
      </c>
      <c r="B204" s="25" t="s">
        <v>119</v>
      </c>
      <c r="C204" s="23">
        <v>8.5</v>
      </c>
      <c r="D204" s="23">
        <v>12500</v>
      </c>
      <c r="E204" s="24">
        <v>106250</v>
      </c>
      <c r="F204" s="25" t="s">
        <v>194</v>
      </c>
    </row>
    <row r="205" spans="1:6" ht="15.75" customHeight="1" x14ac:dyDescent="0.3">
      <c r="A205" s="28" t="s">
        <v>21</v>
      </c>
      <c r="B205" s="28" t="s">
        <v>119</v>
      </c>
      <c r="C205" s="26">
        <v>11.5</v>
      </c>
      <c r="D205" s="26">
        <v>12000</v>
      </c>
      <c r="E205" s="27">
        <v>138000</v>
      </c>
      <c r="F205" s="28" t="s">
        <v>194</v>
      </c>
    </row>
    <row r="206" spans="1:6" ht="15.75" customHeight="1" x14ac:dyDescent="0.3">
      <c r="A206" s="25" t="s">
        <v>21</v>
      </c>
      <c r="B206" s="25" t="s">
        <v>125</v>
      </c>
      <c r="C206" s="23">
        <v>26</v>
      </c>
      <c r="D206" s="23">
        <v>12000</v>
      </c>
      <c r="E206" s="24">
        <v>312000</v>
      </c>
      <c r="F206" s="25" t="s">
        <v>194</v>
      </c>
    </row>
    <row r="207" spans="1:6" ht="15.75" customHeight="1" x14ac:dyDescent="0.3">
      <c r="A207" s="28" t="s">
        <v>21</v>
      </c>
      <c r="B207" s="28" t="s">
        <v>125</v>
      </c>
      <c r="C207" s="26">
        <v>66.5</v>
      </c>
      <c r="D207" s="26">
        <v>11000</v>
      </c>
      <c r="E207" s="27">
        <v>731500</v>
      </c>
      <c r="F207" s="28" t="s">
        <v>194</v>
      </c>
    </row>
    <row r="208" spans="1:6" ht="15.75" customHeight="1" x14ac:dyDescent="0.3">
      <c r="A208" s="25" t="s">
        <v>21</v>
      </c>
      <c r="B208" s="25" t="s">
        <v>112</v>
      </c>
      <c r="C208" s="23">
        <v>8</v>
      </c>
      <c r="D208" s="23">
        <v>7000</v>
      </c>
      <c r="E208" s="24">
        <v>56000</v>
      </c>
      <c r="F208" s="25" t="s">
        <v>194</v>
      </c>
    </row>
    <row r="209" spans="1:6" ht="15.75" customHeight="1" x14ac:dyDescent="0.3">
      <c r="A209" s="28" t="s">
        <v>65</v>
      </c>
      <c r="B209" s="28" t="s">
        <v>177</v>
      </c>
      <c r="C209" s="26">
        <v>50</v>
      </c>
      <c r="D209" s="26">
        <v>7000</v>
      </c>
      <c r="E209" s="27">
        <v>350000</v>
      </c>
      <c r="F209" s="28" t="s">
        <v>194</v>
      </c>
    </row>
    <row r="210" spans="1:6" ht="15.75" customHeight="1" x14ac:dyDescent="0.3">
      <c r="A210" s="25" t="s">
        <v>65</v>
      </c>
      <c r="B210" s="25" t="s">
        <v>176</v>
      </c>
      <c r="C210" s="23">
        <v>8.5</v>
      </c>
      <c r="D210" s="23">
        <v>8500</v>
      </c>
      <c r="E210" s="24">
        <v>72250</v>
      </c>
      <c r="F210" s="25" t="s">
        <v>194</v>
      </c>
    </row>
    <row r="211" spans="1:6" ht="15.75" customHeight="1" x14ac:dyDescent="0.3">
      <c r="A211" s="28" t="s">
        <v>65</v>
      </c>
      <c r="B211" s="28" t="s">
        <v>177</v>
      </c>
      <c r="C211" s="26">
        <v>959.5</v>
      </c>
      <c r="D211" s="26">
        <v>6500</v>
      </c>
      <c r="E211" s="27">
        <v>6236750</v>
      </c>
      <c r="F211" s="28" t="s">
        <v>194</v>
      </c>
    </row>
    <row r="212" spans="1:6" ht="15.75" customHeight="1" x14ac:dyDescent="0.3">
      <c r="A212" s="25" t="s">
        <v>65</v>
      </c>
      <c r="B212" s="25" t="s">
        <v>178</v>
      </c>
      <c r="C212" s="23">
        <v>31</v>
      </c>
      <c r="D212" s="23">
        <v>6000</v>
      </c>
      <c r="E212" s="24">
        <v>186000</v>
      </c>
      <c r="F212" s="25" t="s">
        <v>194</v>
      </c>
    </row>
    <row r="213" spans="1:6" ht="15.75" customHeight="1" x14ac:dyDescent="0.3">
      <c r="A213" s="28" t="s">
        <v>65</v>
      </c>
      <c r="B213" s="28" t="s">
        <v>177</v>
      </c>
      <c r="C213" s="26">
        <v>5050</v>
      </c>
      <c r="D213" s="26">
        <v>6500</v>
      </c>
      <c r="E213" s="27">
        <v>32825000</v>
      </c>
      <c r="F213" s="28" t="s">
        <v>194</v>
      </c>
    </row>
    <row r="214" spans="1:6" ht="15.75" customHeight="1" x14ac:dyDescent="0.3">
      <c r="A214" s="25" t="s">
        <v>11</v>
      </c>
      <c r="B214" s="25" t="s">
        <v>126</v>
      </c>
      <c r="C214" s="23">
        <v>283</v>
      </c>
      <c r="D214" s="23">
        <v>11500</v>
      </c>
      <c r="E214" s="24">
        <v>3254500</v>
      </c>
      <c r="F214" s="25" t="s">
        <v>194</v>
      </c>
    </row>
    <row r="215" spans="1:6" ht="15.75" customHeight="1" x14ac:dyDescent="0.3">
      <c r="A215" s="28" t="s">
        <v>11</v>
      </c>
      <c r="B215" s="28" t="s">
        <v>127</v>
      </c>
      <c r="C215" s="26">
        <v>175</v>
      </c>
      <c r="D215" s="26">
        <v>9500</v>
      </c>
      <c r="E215" s="27">
        <v>1662500</v>
      </c>
      <c r="F215" s="28" t="s">
        <v>194</v>
      </c>
    </row>
    <row r="216" spans="1:6" ht="15.75" customHeight="1" x14ac:dyDescent="0.3">
      <c r="A216" s="25" t="s">
        <v>11</v>
      </c>
      <c r="B216" s="25" t="s">
        <v>11</v>
      </c>
      <c r="C216" s="23">
        <v>60.5</v>
      </c>
      <c r="D216" s="23">
        <v>13000</v>
      </c>
      <c r="E216" s="24">
        <v>786500</v>
      </c>
      <c r="F216" s="25" t="s">
        <v>194</v>
      </c>
    </row>
    <row r="217" spans="1:6" ht="15.75" customHeight="1" x14ac:dyDescent="0.3">
      <c r="A217" s="28" t="s">
        <v>31</v>
      </c>
      <c r="B217" s="28" t="s">
        <v>180</v>
      </c>
      <c r="C217" s="26">
        <v>15</v>
      </c>
      <c r="D217" s="26">
        <v>22000</v>
      </c>
      <c r="E217" s="27">
        <v>330000</v>
      </c>
      <c r="F217" s="28" t="s">
        <v>194</v>
      </c>
    </row>
    <row r="218" spans="1:6" ht="15.75" customHeight="1" x14ac:dyDescent="0.3">
      <c r="A218" s="25" t="s">
        <v>31</v>
      </c>
      <c r="B218" s="25" t="s">
        <v>128</v>
      </c>
      <c r="C218" s="23">
        <v>11.5</v>
      </c>
      <c r="D218" s="23">
        <v>22000</v>
      </c>
      <c r="E218" s="24">
        <v>253000</v>
      </c>
      <c r="F218" s="25" t="s">
        <v>194</v>
      </c>
    </row>
    <row r="219" spans="1:6" ht="15.75" customHeight="1" x14ac:dyDescent="0.3">
      <c r="A219" s="28" t="s">
        <v>31</v>
      </c>
      <c r="B219" s="28" t="s">
        <v>129</v>
      </c>
      <c r="C219" s="26">
        <v>9</v>
      </c>
      <c r="D219" s="26">
        <v>17500</v>
      </c>
      <c r="E219" s="27">
        <v>157500</v>
      </c>
      <c r="F219" s="28" t="s">
        <v>194</v>
      </c>
    </row>
    <row r="220" spans="1:6" ht="15.75" customHeight="1" x14ac:dyDescent="0.3">
      <c r="A220" s="25" t="s">
        <v>31</v>
      </c>
      <c r="B220" s="25" t="s">
        <v>130</v>
      </c>
      <c r="C220" s="23">
        <v>5.5</v>
      </c>
      <c r="D220" s="23">
        <v>20000</v>
      </c>
      <c r="E220" s="24">
        <v>110000</v>
      </c>
      <c r="F220" s="25" t="s">
        <v>194</v>
      </c>
    </row>
    <row r="221" spans="1:6" ht="15.75" customHeight="1" x14ac:dyDescent="0.3">
      <c r="A221" s="28" t="s">
        <v>31</v>
      </c>
      <c r="B221" s="28" t="s">
        <v>131</v>
      </c>
      <c r="C221" s="26">
        <v>3.5</v>
      </c>
      <c r="D221" s="26">
        <v>14000</v>
      </c>
      <c r="E221" s="27">
        <v>49000</v>
      </c>
      <c r="F221" s="28" t="s">
        <v>194</v>
      </c>
    </row>
    <row r="222" spans="1:6" ht="15.75" customHeight="1" x14ac:dyDescent="0.3">
      <c r="A222" s="25" t="s">
        <v>14</v>
      </c>
      <c r="B222" s="25" t="s">
        <v>14</v>
      </c>
      <c r="C222" s="23">
        <v>136.5</v>
      </c>
      <c r="D222" s="23">
        <v>9500</v>
      </c>
      <c r="E222" s="24">
        <v>1296750</v>
      </c>
      <c r="F222" s="25" t="s">
        <v>194</v>
      </c>
    </row>
    <row r="223" spans="1:6" ht="15.75" customHeight="1" x14ac:dyDescent="0.3">
      <c r="A223" s="28" t="s">
        <v>14</v>
      </c>
      <c r="B223" s="28" t="s">
        <v>14</v>
      </c>
      <c r="C223" s="26">
        <v>29.5</v>
      </c>
      <c r="D223" s="26">
        <v>9300</v>
      </c>
      <c r="E223" s="27">
        <v>274350</v>
      </c>
      <c r="F223" s="28" t="s">
        <v>194</v>
      </c>
    </row>
    <row r="224" spans="1:6" ht="15.75" customHeight="1" x14ac:dyDescent="0.3">
      <c r="A224" s="25" t="s">
        <v>14</v>
      </c>
      <c r="B224" s="25" t="s">
        <v>14</v>
      </c>
      <c r="C224" s="23">
        <v>49</v>
      </c>
      <c r="D224" s="23">
        <v>9000</v>
      </c>
      <c r="E224" s="24">
        <v>441000</v>
      </c>
      <c r="F224" s="25" t="s">
        <v>194</v>
      </c>
    </row>
    <row r="225" spans="1:6" ht="15.75" customHeight="1" x14ac:dyDescent="0.3">
      <c r="A225" s="28" t="s">
        <v>14</v>
      </c>
      <c r="B225" s="28" t="s">
        <v>14</v>
      </c>
      <c r="C225" s="26">
        <v>189</v>
      </c>
      <c r="D225" s="26">
        <v>8500</v>
      </c>
      <c r="E225" s="27">
        <v>1606500</v>
      </c>
      <c r="F225" s="28" t="s">
        <v>194</v>
      </c>
    </row>
    <row r="226" spans="1:6" ht="15.75" customHeight="1" x14ac:dyDescent="0.3">
      <c r="A226" s="25" t="s">
        <v>14</v>
      </c>
      <c r="B226" s="25" t="s">
        <v>116</v>
      </c>
      <c r="C226" s="23">
        <v>107.5</v>
      </c>
      <c r="D226" s="23">
        <v>8000</v>
      </c>
      <c r="E226" s="24">
        <v>860000</v>
      </c>
      <c r="F226" s="25" t="s">
        <v>194</v>
      </c>
    </row>
    <row r="227" spans="1:6" ht="15.75" customHeight="1" x14ac:dyDescent="0.3">
      <c r="A227" s="28" t="s">
        <v>14</v>
      </c>
      <c r="B227" s="28" t="s">
        <v>116</v>
      </c>
      <c r="C227" s="26">
        <v>12</v>
      </c>
      <c r="D227" s="26">
        <v>7500</v>
      </c>
      <c r="E227" s="27">
        <v>90000</v>
      </c>
      <c r="F227" s="28" t="s">
        <v>194</v>
      </c>
    </row>
    <row r="228" spans="1:6" ht="15.75" customHeight="1" x14ac:dyDescent="0.3">
      <c r="A228" s="25" t="s">
        <v>14</v>
      </c>
      <c r="B228" s="25" t="s">
        <v>116</v>
      </c>
      <c r="C228" s="23">
        <v>42</v>
      </c>
      <c r="D228" s="23">
        <v>6500</v>
      </c>
      <c r="E228" s="24">
        <v>273000</v>
      </c>
      <c r="F228" s="25" t="s">
        <v>194</v>
      </c>
    </row>
    <row r="229" spans="1:6" ht="15.75" customHeight="1" x14ac:dyDescent="0.3">
      <c r="A229" s="28" t="s">
        <v>14</v>
      </c>
      <c r="B229" s="28" t="s">
        <v>186</v>
      </c>
      <c r="C229" s="26">
        <v>13</v>
      </c>
      <c r="D229" s="26">
        <v>5000</v>
      </c>
      <c r="E229" s="27">
        <v>65000</v>
      </c>
      <c r="F229" s="28" t="s">
        <v>194</v>
      </c>
    </row>
    <row r="230" spans="1:6" ht="15.75" customHeight="1" x14ac:dyDescent="0.3">
      <c r="A230" s="25" t="s">
        <v>44</v>
      </c>
      <c r="B230" s="25" t="s">
        <v>15</v>
      </c>
      <c r="C230" s="23">
        <v>192.5</v>
      </c>
      <c r="D230" s="23">
        <v>8500</v>
      </c>
      <c r="E230" s="24">
        <v>1636250</v>
      </c>
      <c r="F230" s="25" t="s">
        <v>194</v>
      </c>
    </row>
    <row r="231" spans="1:6" ht="15.75" customHeight="1" x14ac:dyDescent="0.3">
      <c r="A231" s="28" t="s">
        <v>44</v>
      </c>
      <c r="B231" s="28" t="s">
        <v>15</v>
      </c>
      <c r="C231" s="26">
        <v>55</v>
      </c>
      <c r="D231" s="26">
        <v>8000</v>
      </c>
      <c r="E231" s="27">
        <v>440000</v>
      </c>
      <c r="F231" s="28" t="s">
        <v>194</v>
      </c>
    </row>
    <row r="232" spans="1:6" ht="15.75" customHeight="1" x14ac:dyDescent="0.3">
      <c r="A232" s="25" t="s">
        <v>44</v>
      </c>
      <c r="B232" s="25" t="s">
        <v>15</v>
      </c>
      <c r="C232" s="23">
        <v>214.5</v>
      </c>
      <c r="D232" s="23">
        <v>7500</v>
      </c>
      <c r="E232" s="24">
        <v>1608750</v>
      </c>
      <c r="F232" s="25" t="s">
        <v>194</v>
      </c>
    </row>
    <row r="233" spans="1:6" ht="15.75" customHeight="1" x14ac:dyDescent="0.3">
      <c r="A233" s="28" t="s">
        <v>44</v>
      </c>
      <c r="B233" s="28" t="s">
        <v>106</v>
      </c>
      <c r="C233" s="26">
        <v>27</v>
      </c>
      <c r="D233" s="26">
        <v>11000</v>
      </c>
      <c r="E233" s="27">
        <v>297000</v>
      </c>
      <c r="F233" s="28" t="s">
        <v>194</v>
      </c>
    </row>
    <row r="234" spans="1:6" ht="15.75" customHeight="1" x14ac:dyDescent="0.3">
      <c r="A234" s="25" t="s">
        <v>44</v>
      </c>
      <c r="B234" s="25" t="s">
        <v>141</v>
      </c>
      <c r="C234" s="23">
        <v>7.5</v>
      </c>
      <c r="D234" s="23">
        <v>6000</v>
      </c>
      <c r="E234" s="24">
        <v>45000</v>
      </c>
      <c r="F234" s="25" t="s">
        <v>194</v>
      </c>
    </row>
    <row r="235" spans="1:6" ht="15.75" customHeight="1" x14ac:dyDescent="0.3">
      <c r="A235" s="28" t="s">
        <v>46</v>
      </c>
      <c r="B235" s="28" t="s">
        <v>103</v>
      </c>
      <c r="C235" s="26">
        <v>2</v>
      </c>
      <c r="D235" s="26">
        <v>10500</v>
      </c>
      <c r="E235" s="27">
        <v>21000</v>
      </c>
      <c r="F235" s="28" t="s">
        <v>194</v>
      </c>
    </row>
    <row r="236" spans="1:6" ht="15.75" customHeight="1" x14ac:dyDescent="0.3">
      <c r="A236" s="25" t="s">
        <v>3</v>
      </c>
      <c r="B236" s="25" t="s">
        <v>136</v>
      </c>
      <c r="C236" s="23">
        <v>12915.5</v>
      </c>
      <c r="D236" s="23">
        <v>11000</v>
      </c>
      <c r="E236" s="24">
        <v>142070500</v>
      </c>
      <c r="F236" s="25" t="s">
        <v>195</v>
      </c>
    </row>
    <row r="237" spans="1:6" ht="15.75" customHeight="1" x14ac:dyDescent="0.3">
      <c r="A237" s="28" t="s">
        <v>3</v>
      </c>
      <c r="B237" s="28" t="s">
        <v>142</v>
      </c>
      <c r="C237" s="26">
        <v>2</v>
      </c>
      <c r="D237" s="26">
        <v>9000</v>
      </c>
      <c r="E237" s="27">
        <v>18000</v>
      </c>
      <c r="F237" s="28" t="s">
        <v>195</v>
      </c>
    </row>
    <row r="238" spans="1:6" ht="15.75" customHeight="1" x14ac:dyDescent="0.3">
      <c r="A238" s="25" t="s">
        <v>4</v>
      </c>
      <c r="B238" s="25" t="s">
        <v>4</v>
      </c>
      <c r="C238" s="23">
        <v>370</v>
      </c>
      <c r="D238" s="23">
        <v>17000</v>
      </c>
      <c r="E238" s="24">
        <v>6290000</v>
      </c>
      <c r="F238" s="25" t="s">
        <v>195</v>
      </c>
    </row>
    <row r="239" spans="1:6" ht="15.75" customHeight="1" x14ac:dyDescent="0.3">
      <c r="A239" s="28" t="s">
        <v>4</v>
      </c>
      <c r="B239" s="28" t="s">
        <v>4</v>
      </c>
      <c r="C239" s="26">
        <v>1061.5</v>
      </c>
      <c r="D239" s="26">
        <v>16000</v>
      </c>
      <c r="E239" s="27">
        <v>16984000</v>
      </c>
      <c r="F239" s="28" t="s">
        <v>195</v>
      </c>
    </row>
    <row r="240" spans="1:6" ht="15.75" customHeight="1" x14ac:dyDescent="0.3">
      <c r="A240" s="25" t="s">
        <v>53</v>
      </c>
      <c r="B240" s="25" t="s">
        <v>91</v>
      </c>
      <c r="C240" s="23">
        <v>7.5</v>
      </c>
      <c r="D240" s="23">
        <v>4000</v>
      </c>
      <c r="E240" s="24">
        <v>30000</v>
      </c>
      <c r="F240" s="25" t="s">
        <v>195</v>
      </c>
    </row>
    <row r="241" spans="1:6" ht="15.75" customHeight="1" x14ac:dyDescent="0.3">
      <c r="A241" s="28" t="s">
        <v>5</v>
      </c>
      <c r="B241" s="28" t="s">
        <v>121</v>
      </c>
      <c r="C241" s="26">
        <v>116.5</v>
      </c>
      <c r="D241" s="26">
        <v>9000</v>
      </c>
      <c r="E241" s="27">
        <v>1048500</v>
      </c>
      <c r="F241" s="28" t="s">
        <v>195</v>
      </c>
    </row>
    <row r="242" spans="1:6" ht="15.75" customHeight="1" x14ac:dyDescent="0.3">
      <c r="A242" s="25" t="s">
        <v>90</v>
      </c>
      <c r="B242" s="25" t="s">
        <v>134</v>
      </c>
      <c r="C242" s="23">
        <v>1.5</v>
      </c>
      <c r="D242" s="23">
        <v>20000</v>
      </c>
      <c r="E242" s="24">
        <v>30000</v>
      </c>
      <c r="F242" s="25" t="s">
        <v>195</v>
      </c>
    </row>
    <row r="243" spans="1:6" ht="15.75" customHeight="1" x14ac:dyDescent="0.3">
      <c r="A243" s="28" t="s">
        <v>90</v>
      </c>
      <c r="B243" s="28" t="s">
        <v>6</v>
      </c>
      <c r="C243" s="26">
        <v>46.5</v>
      </c>
      <c r="D243" s="26">
        <v>5000</v>
      </c>
      <c r="E243" s="27">
        <v>232500</v>
      </c>
      <c r="F243" s="28" t="s">
        <v>195</v>
      </c>
    </row>
    <row r="244" spans="1:6" ht="15.75" customHeight="1" x14ac:dyDescent="0.3">
      <c r="A244" s="25" t="s">
        <v>90</v>
      </c>
      <c r="B244" s="25" t="s">
        <v>122</v>
      </c>
      <c r="C244" s="23">
        <v>41</v>
      </c>
      <c r="D244" s="23">
        <v>4000</v>
      </c>
      <c r="E244" s="24">
        <v>164000</v>
      </c>
      <c r="F244" s="25" t="s">
        <v>195</v>
      </c>
    </row>
    <row r="245" spans="1:6" ht="15.75" customHeight="1" x14ac:dyDescent="0.3">
      <c r="A245" s="28" t="s">
        <v>90</v>
      </c>
      <c r="B245" s="28" t="s">
        <v>187</v>
      </c>
      <c r="C245" s="26">
        <v>15.5</v>
      </c>
      <c r="D245" s="26">
        <v>9000</v>
      </c>
      <c r="E245" s="27">
        <v>139500</v>
      </c>
      <c r="F245" s="28" t="s">
        <v>195</v>
      </c>
    </row>
    <row r="246" spans="1:6" ht="15.75" customHeight="1" x14ac:dyDescent="0.3">
      <c r="A246" s="25" t="s">
        <v>90</v>
      </c>
      <c r="B246" s="25" t="s">
        <v>188</v>
      </c>
      <c r="C246" s="23">
        <v>13.5</v>
      </c>
      <c r="D246" s="23">
        <v>10000</v>
      </c>
      <c r="E246" s="24">
        <v>135000</v>
      </c>
      <c r="F246" s="25" t="s">
        <v>195</v>
      </c>
    </row>
    <row r="247" spans="1:6" ht="15.75" customHeight="1" x14ac:dyDescent="0.3">
      <c r="A247" s="28" t="s">
        <v>90</v>
      </c>
      <c r="B247" s="28" t="s">
        <v>152</v>
      </c>
      <c r="C247" s="26">
        <v>21</v>
      </c>
      <c r="D247" s="26">
        <v>10500</v>
      </c>
      <c r="E247" s="27">
        <v>220500</v>
      </c>
      <c r="F247" s="28" t="s">
        <v>195</v>
      </c>
    </row>
    <row r="248" spans="1:6" ht="15.75" customHeight="1" x14ac:dyDescent="0.3">
      <c r="A248" s="25" t="s">
        <v>90</v>
      </c>
      <c r="B248" s="25" t="s">
        <v>153</v>
      </c>
      <c r="C248" s="23">
        <v>5</v>
      </c>
      <c r="D248" s="23">
        <v>9000</v>
      </c>
      <c r="E248" s="24">
        <v>45000</v>
      </c>
      <c r="F248" s="25" t="s">
        <v>195</v>
      </c>
    </row>
    <row r="249" spans="1:6" ht="15.75" customHeight="1" x14ac:dyDescent="0.3">
      <c r="A249" s="28" t="s">
        <v>90</v>
      </c>
      <c r="B249" s="28" t="s">
        <v>153</v>
      </c>
      <c r="C249" s="26">
        <v>7</v>
      </c>
      <c r="D249" s="26">
        <v>8000</v>
      </c>
      <c r="E249" s="27">
        <v>56000</v>
      </c>
      <c r="F249" s="28" t="s">
        <v>195</v>
      </c>
    </row>
    <row r="250" spans="1:6" ht="15.75" customHeight="1" x14ac:dyDescent="0.3">
      <c r="A250" s="25" t="s">
        <v>90</v>
      </c>
      <c r="B250" s="25" t="s">
        <v>97</v>
      </c>
      <c r="C250" s="23">
        <v>15.5</v>
      </c>
      <c r="D250" s="23">
        <v>10000</v>
      </c>
      <c r="E250" s="24">
        <v>155000</v>
      </c>
      <c r="F250" s="25" t="s">
        <v>195</v>
      </c>
    </row>
    <row r="251" spans="1:6" ht="15.75" customHeight="1" x14ac:dyDescent="0.3">
      <c r="A251" s="28" t="s">
        <v>39</v>
      </c>
      <c r="B251" s="28" t="s">
        <v>123</v>
      </c>
      <c r="C251" s="26">
        <v>41</v>
      </c>
      <c r="D251" s="26">
        <v>16000</v>
      </c>
      <c r="E251" s="27">
        <v>656000</v>
      </c>
      <c r="F251" s="28" t="s">
        <v>195</v>
      </c>
    </row>
    <row r="252" spans="1:6" ht="15.75" customHeight="1" x14ac:dyDescent="0.3">
      <c r="A252" s="25" t="s">
        <v>39</v>
      </c>
      <c r="B252" s="25" t="s">
        <v>138</v>
      </c>
      <c r="C252" s="23">
        <v>26.5</v>
      </c>
      <c r="D252" s="23">
        <v>7500</v>
      </c>
      <c r="E252" s="24">
        <v>198750</v>
      </c>
      <c r="F252" s="25" t="s">
        <v>195</v>
      </c>
    </row>
    <row r="253" spans="1:6" ht="15.75" customHeight="1" x14ac:dyDescent="0.3">
      <c r="A253" s="28" t="s">
        <v>39</v>
      </c>
      <c r="B253" s="28" t="s">
        <v>98</v>
      </c>
      <c r="C253" s="26">
        <v>55.5</v>
      </c>
      <c r="D253" s="26">
        <v>11000</v>
      </c>
      <c r="E253" s="27">
        <v>610500</v>
      </c>
      <c r="F253" s="28" t="s">
        <v>195</v>
      </c>
    </row>
    <row r="254" spans="1:6" ht="15.75" customHeight="1" x14ac:dyDescent="0.3">
      <c r="A254" s="25" t="s">
        <v>39</v>
      </c>
      <c r="B254" s="25" t="s">
        <v>174</v>
      </c>
      <c r="C254" s="23">
        <v>3.5</v>
      </c>
      <c r="D254" s="23">
        <v>5000</v>
      </c>
      <c r="E254" s="24">
        <v>17500</v>
      </c>
      <c r="F254" s="25" t="s">
        <v>195</v>
      </c>
    </row>
    <row r="255" spans="1:6" ht="15.75" customHeight="1" x14ac:dyDescent="0.3">
      <c r="A255" s="28" t="s">
        <v>39</v>
      </c>
      <c r="B255" s="28" t="s">
        <v>124</v>
      </c>
      <c r="C255" s="26">
        <v>6.5</v>
      </c>
      <c r="D255" s="26">
        <v>3000</v>
      </c>
      <c r="E255" s="27">
        <v>19500</v>
      </c>
      <c r="F255" s="28" t="s">
        <v>195</v>
      </c>
    </row>
    <row r="256" spans="1:6" ht="15.75" customHeight="1" x14ac:dyDescent="0.3">
      <c r="A256" s="25" t="s">
        <v>39</v>
      </c>
      <c r="B256" s="25" t="s">
        <v>174</v>
      </c>
      <c r="C256" s="23">
        <v>7.5</v>
      </c>
      <c r="D256" s="23">
        <v>5000</v>
      </c>
      <c r="E256" s="24">
        <v>37500</v>
      </c>
      <c r="F256" s="25" t="s">
        <v>195</v>
      </c>
    </row>
    <row r="257" spans="1:6" ht="15.75" customHeight="1" x14ac:dyDescent="0.3">
      <c r="A257" s="28" t="s">
        <v>9</v>
      </c>
      <c r="B257" s="28" t="s">
        <v>9</v>
      </c>
      <c r="C257" s="26">
        <v>224.5</v>
      </c>
      <c r="D257" s="26">
        <v>7000</v>
      </c>
      <c r="E257" s="27">
        <v>1571500</v>
      </c>
      <c r="F257" s="28" t="s">
        <v>195</v>
      </c>
    </row>
    <row r="258" spans="1:6" ht="15.75" customHeight="1" x14ac:dyDescent="0.3">
      <c r="A258" s="25" t="s">
        <v>54</v>
      </c>
      <c r="B258" s="25" t="s">
        <v>115</v>
      </c>
      <c r="C258" s="23">
        <v>12.5</v>
      </c>
      <c r="D258" s="23">
        <v>3500</v>
      </c>
      <c r="E258" s="24">
        <v>43750</v>
      </c>
      <c r="F258" s="25" t="s">
        <v>195</v>
      </c>
    </row>
    <row r="259" spans="1:6" ht="15.75" customHeight="1" x14ac:dyDescent="0.3">
      <c r="A259" s="28" t="s">
        <v>21</v>
      </c>
      <c r="B259" s="28" t="s">
        <v>118</v>
      </c>
      <c r="C259" s="26">
        <v>1</v>
      </c>
      <c r="D259" s="26">
        <v>14000</v>
      </c>
      <c r="E259" s="27">
        <v>14000</v>
      </c>
      <c r="F259" s="28" t="s">
        <v>195</v>
      </c>
    </row>
    <row r="260" spans="1:6" ht="15.75" customHeight="1" x14ac:dyDescent="0.3">
      <c r="A260" s="25" t="s">
        <v>21</v>
      </c>
      <c r="B260" s="25" t="s">
        <v>119</v>
      </c>
      <c r="C260" s="23">
        <v>23.5</v>
      </c>
      <c r="D260" s="23">
        <v>12500</v>
      </c>
      <c r="E260" s="24">
        <v>293750</v>
      </c>
      <c r="F260" s="25" t="s">
        <v>195</v>
      </c>
    </row>
    <row r="261" spans="1:6" ht="15.75" customHeight="1" x14ac:dyDescent="0.3">
      <c r="A261" s="28" t="s">
        <v>21</v>
      </c>
      <c r="B261" s="28" t="s">
        <v>125</v>
      </c>
      <c r="C261" s="26">
        <v>202.5</v>
      </c>
      <c r="D261" s="26">
        <v>11000</v>
      </c>
      <c r="E261" s="27">
        <v>2227500</v>
      </c>
      <c r="F261" s="28" t="s">
        <v>195</v>
      </c>
    </row>
    <row r="262" spans="1:6" ht="15.75" customHeight="1" x14ac:dyDescent="0.3">
      <c r="A262" s="25" t="s">
        <v>21</v>
      </c>
      <c r="B262" s="25" t="s">
        <v>112</v>
      </c>
      <c r="C262" s="23">
        <v>8.5</v>
      </c>
      <c r="D262" s="23">
        <v>7000</v>
      </c>
      <c r="E262" s="24">
        <v>59500</v>
      </c>
      <c r="F262" s="25" t="s">
        <v>195</v>
      </c>
    </row>
    <row r="263" spans="1:6" ht="15.75" customHeight="1" x14ac:dyDescent="0.3">
      <c r="A263" s="28" t="s">
        <v>61</v>
      </c>
      <c r="B263" s="28" t="s">
        <v>120</v>
      </c>
      <c r="C263" s="26">
        <v>45.5</v>
      </c>
      <c r="D263" s="26">
        <v>12000</v>
      </c>
      <c r="E263" s="27">
        <v>546000</v>
      </c>
      <c r="F263" s="28" t="s">
        <v>195</v>
      </c>
    </row>
    <row r="264" spans="1:6" ht="15.75" customHeight="1" x14ac:dyDescent="0.3">
      <c r="A264" s="25" t="s">
        <v>61</v>
      </c>
      <c r="B264" s="25" t="s">
        <v>114</v>
      </c>
      <c r="C264" s="23">
        <v>20</v>
      </c>
      <c r="D264" s="23">
        <v>10000</v>
      </c>
      <c r="E264" s="24">
        <v>200000</v>
      </c>
      <c r="F264" s="25" t="s">
        <v>195</v>
      </c>
    </row>
    <row r="265" spans="1:6" ht="15.75" customHeight="1" x14ac:dyDescent="0.3">
      <c r="A265" s="28" t="s">
        <v>65</v>
      </c>
      <c r="B265" s="28" t="s">
        <v>135</v>
      </c>
      <c r="C265" s="26">
        <v>2408.5</v>
      </c>
      <c r="D265" s="26">
        <v>6000</v>
      </c>
      <c r="E265" s="27">
        <v>14451000</v>
      </c>
      <c r="F265" s="28" t="s">
        <v>195</v>
      </c>
    </row>
    <row r="266" spans="1:6" ht="15.75" customHeight="1" x14ac:dyDescent="0.3">
      <c r="A266" s="25" t="s">
        <v>65</v>
      </c>
      <c r="B266" s="25" t="s">
        <v>176</v>
      </c>
      <c r="C266" s="23">
        <v>2</v>
      </c>
      <c r="D266" s="23">
        <v>8000</v>
      </c>
      <c r="E266" s="24">
        <v>16000</v>
      </c>
      <c r="F266" s="25" t="s">
        <v>195</v>
      </c>
    </row>
    <row r="267" spans="1:6" ht="15.75" customHeight="1" x14ac:dyDescent="0.3">
      <c r="A267" s="28" t="s">
        <v>65</v>
      </c>
      <c r="B267" s="28" t="s">
        <v>177</v>
      </c>
      <c r="C267" s="26">
        <v>13.5</v>
      </c>
      <c r="D267" s="26">
        <v>6600</v>
      </c>
      <c r="E267" s="27">
        <v>89100</v>
      </c>
      <c r="F267" s="28" t="s">
        <v>195</v>
      </c>
    </row>
    <row r="268" spans="1:6" ht="15.75" customHeight="1" x14ac:dyDescent="0.3">
      <c r="A268" s="25" t="s">
        <v>65</v>
      </c>
      <c r="B268" s="25" t="s">
        <v>178</v>
      </c>
      <c r="C268" s="23">
        <v>698.5</v>
      </c>
      <c r="D268" s="23">
        <v>6000</v>
      </c>
      <c r="E268" s="24">
        <v>4191000</v>
      </c>
      <c r="F268" s="25" t="s">
        <v>195</v>
      </c>
    </row>
    <row r="269" spans="1:6" ht="15.75" customHeight="1" x14ac:dyDescent="0.3">
      <c r="A269" s="28" t="s">
        <v>11</v>
      </c>
      <c r="B269" s="28" t="s">
        <v>126</v>
      </c>
      <c r="C269" s="26">
        <v>123.5</v>
      </c>
      <c r="D269" s="26">
        <v>10500</v>
      </c>
      <c r="E269" s="27">
        <v>1296750</v>
      </c>
      <c r="F269" s="28" t="s">
        <v>195</v>
      </c>
    </row>
    <row r="270" spans="1:6" ht="15.75" customHeight="1" x14ac:dyDescent="0.3">
      <c r="A270" s="25" t="s">
        <v>11</v>
      </c>
      <c r="B270" s="25" t="s">
        <v>127</v>
      </c>
      <c r="C270" s="23">
        <v>127.5</v>
      </c>
      <c r="D270" s="23">
        <v>9000</v>
      </c>
      <c r="E270" s="24">
        <v>1147500</v>
      </c>
      <c r="F270" s="25" t="s">
        <v>195</v>
      </c>
    </row>
    <row r="271" spans="1:6" ht="15.75" customHeight="1" x14ac:dyDescent="0.3">
      <c r="A271" s="28" t="s">
        <v>31</v>
      </c>
      <c r="B271" s="28" t="s">
        <v>128</v>
      </c>
      <c r="C271" s="26">
        <v>7.5</v>
      </c>
      <c r="D271" s="26">
        <v>22000</v>
      </c>
      <c r="E271" s="27">
        <v>165000</v>
      </c>
      <c r="F271" s="28" t="s">
        <v>195</v>
      </c>
    </row>
    <row r="272" spans="1:6" ht="15.75" customHeight="1" x14ac:dyDescent="0.3">
      <c r="A272" s="25" t="s">
        <v>31</v>
      </c>
      <c r="B272" s="25" t="s">
        <v>129</v>
      </c>
      <c r="C272" s="23">
        <v>4.5</v>
      </c>
      <c r="D272" s="23">
        <v>17500</v>
      </c>
      <c r="E272" s="24">
        <v>78750</v>
      </c>
      <c r="F272" s="25" t="s">
        <v>195</v>
      </c>
    </row>
    <row r="273" spans="1:6" ht="15.75" customHeight="1" x14ac:dyDescent="0.3">
      <c r="A273" s="28" t="s">
        <v>31</v>
      </c>
      <c r="B273" s="28" t="s">
        <v>130</v>
      </c>
      <c r="C273" s="26">
        <v>6.5</v>
      </c>
      <c r="D273" s="26">
        <v>20000</v>
      </c>
      <c r="E273" s="27">
        <v>130000</v>
      </c>
      <c r="F273" s="28" t="s">
        <v>195</v>
      </c>
    </row>
    <row r="274" spans="1:6" ht="15.75" customHeight="1" x14ac:dyDescent="0.3">
      <c r="A274" s="25" t="s">
        <v>31</v>
      </c>
      <c r="B274" s="25" t="s">
        <v>131</v>
      </c>
      <c r="C274" s="23">
        <v>3</v>
      </c>
      <c r="D274" s="23">
        <v>14000</v>
      </c>
      <c r="E274" s="24">
        <v>42000</v>
      </c>
      <c r="F274" s="25" t="s">
        <v>195</v>
      </c>
    </row>
    <row r="275" spans="1:6" ht="15.75" customHeight="1" x14ac:dyDescent="0.3">
      <c r="A275" s="28" t="s">
        <v>31</v>
      </c>
      <c r="B275" s="28" t="s">
        <v>132</v>
      </c>
      <c r="C275" s="26">
        <v>11.5</v>
      </c>
      <c r="D275" s="26">
        <v>12000</v>
      </c>
      <c r="E275" s="27">
        <v>138000</v>
      </c>
      <c r="F275" s="28" t="s">
        <v>195</v>
      </c>
    </row>
    <row r="276" spans="1:6" ht="15.75" customHeight="1" x14ac:dyDescent="0.3">
      <c r="A276" s="25" t="s">
        <v>14</v>
      </c>
      <c r="B276" s="25" t="s">
        <v>109</v>
      </c>
      <c r="C276" s="23">
        <v>296</v>
      </c>
      <c r="D276" s="23">
        <v>9000</v>
      </c>
      <c r="E276" s="24">
        <v>2664000</v>
      </c>
      <c r="F276" s="25" t="s">
        <v>195</v>
      </c>
    </row>
    <row r="277" spans="1:6" ht="15.75" customHeight="1" x14ac:dyDescent="0.3">
      <c r="A277" s="28" t="s">
        <v>14</v>
      </c>
      <c r="B277" s="28" t="s">
        <v>109</v>
      </c>
      <c r="C277" s="26">
        <v>59.5</v>
      </c>
      <c r="D277" s="26">
        <v>8500</v>
      </c>
      <c r="E277" s="27">
        <v>505750</v>
      </c>
      <c r="F277" s="28" t="s">
        <v>195</v>
      </c>
    </row>
    <row r="278" spans="1:6" ht="15.75" customHeight="1" x14ac:dyDescent="0.3">
      <c r="A278" s="25" t="s">
        <v>14</v>
      </c>
      <c r="B278" s="25" t="s">
        <v>116</v>
      </c>
      <c r="C278" s="23">
        <v>211</v>
      </c>
      <c r="D278" s="23">
        <v>6500</v>
      </c>
      <c r="E278" s="24">
        <v>1371500</v>
      </c>
      <c r="F278" s="25" t="s">
        <v>195</v>
      </c>
    </row>
    <row r="279" spans="1:6" ht="15.75" customHeight="1" x14ac:dyDescent="0.3">
      <c r="A279" s="28" t="s">
        <v>14</v>
      </c>
      <c r="B279" s="28" t="s">
        <v>116</v>
      </c>
      <c r="C279" s="26">
        <v>33</v>
      </c>
      <c r="D279" s="26">
        <v>5000</v>
      </c>
      <c r="E279" s="27">
        <v>165000</v>
      </c>
      <c r="F279" s="28" t="s">
        <v>195</v>
      </c>
    </row>
    <row r="280" spans="1:6" ht="15.75" customHeight="1" x14ac:dyDescent="0.3">
      <c r="A280" s="25" t="s">
        <v>44</v>
      </c>
      <c r="B280" s="25" t="s">
        <v>15</v>
      </c>
      <c r="C280" s="23">
        <v>112</v>
      </c>
      <c r="D280" s="23">
        <v>7500</v>
      </c>
      <c r="E280" s="24">
        <v>840000</v>
      </c>
      <c r="F280" s="25" t="s">
        <v>195</v>
      </c>
    </row>
    <row r="281" spans="1:6" ht="15.75" customHeight="1" x14ac:dyDescent="0.3">
      <c r="A281" s="28" t="s">
        <v>44</v>
      </c>
      <c r="B281" s="28" t="s">
        <v>141</v>
      </c>
      <c r="C281" s="26">
        <v>2.5</v>
      </c>
      <c r="D281" s="26">
        <v>7000</v>
      </c>
      <c r="E281" s="27">
        <v>17500</v>
      </c>
      <c r="F281" s="28" t="s">
        <v>195</v>
      </c>
    </row>
    <row r="282" spans="1:6" ht="15.75" customHeight="1" x14ac:dyDescent="0.3">
      <c r="A282" s="25" t="s">
        <v>90</v>
      </c>
      <c r="B282" s="25" t="s">
        <v>117</v>
      </c>
      <c r="C282" s="23">
        <v>8.5</v>
      </c>
      <c r="D282" s="23">
        <v>5000</v>
      </c>
      <c r="E282" s="24">
        <v>42500</v>
      </c>
      <c r="F282" s="25" t="s">
        <v>196</v>
      </c>
    </row>
    <row r="283" spans="1:6" ht="15.75" customHeight="1" x14ac:dyDescent="0.3">
      <c r="A283" s="28" t="s">
        <v>90</v>
      </c>
      <c r="B283" s="28" t="s">
        <v>117</v>
      </c>
      <c r="C283" s="26">
        <v>12</v>
      </c>
      <c r="D283" s="26">
        <v>5000</v>
      </c>
      <c r="E283" s="27">
        <v>60000</v>
      </c>
      <c r="F283" s="28" t="s">
        <v>196</v>
      </c>
    </row>
    <row r="284" spans="1:6" ht="15.75" customHeight="1" x14ac:dyDescent="0.3">
      <c r="A284" s="25" t="s">
        <v>3</v>
      </c>
      <c r="B284" s="25" t="s">
        <v>146</v>
      </c>
      <c r="C284" s="23">
        <v>2762.5</v>
      </c>
      <c r="D284" s="23">
        <v>11000</v>
      </c>
      <c r="E284" s="24">
        <v>30387500</v>
      </c>
      <c r="F284" s="25" t="s">
        <v>196</v>
      </c>
    </row>
    <row r="285" spans="1:6" ht="15.75" customHeight="1" x14ac:dyDescent="0.3">
      <c r="A285" s="28" t="s">
        <v>3</v>
      </c>
      <c r="B285" s="28" t="s">
        <v>146</v>
      </c>
      <c r="C285" s="26">
        <v>2.5</v>
      </c>
      <c r="D285" s="26">
        <v>9000</v>
      </c>
      <c r="E285" s="27">
        <v>22500</v>
      </c>
      <c r="F285" s="28" t="s">
        <v>196</v>
      </c>
    </row>
    <row r="286" spans="1:6" ht="15.75" customHeight="1" x14ac:dyDescent="0.3">
      <c r="A286" s="25" t="s">
        <v>4</v>
      </c>
      <c r="B286" s="25" t="s">
        <v>4</v>
      </c>
      <c r="C286" s="23">
        <v>100</v>
      </c>
      <c r="D286" s="23">
        <v>17000</v>
      </c>
      <c r="E286" s="24">
        <v>1700000</v>
      </c>
      <c r="F286" s="25" t="s">
        <v>196</v>
      </c>
    </row>
    <row r="287" spans="1:6" ht="15.75" customHeight="1" x14ac:dyDescent="0.3">
      <c r="A287" s="28" t="s">
        <v>16</v>
      </c>
      <c r="B287" s="28" t="s">
        <v>16</v>
      </c>
      <c r="C287" s="26">
        <v>30</v>
      </c>
      <c r="D287" s="26">
        <v>7000</v>
      </c>
      <c r="E287" s="27">
        <v>210000</v>
      </c>
      <c r="F287" s="28" t="s">
        <v>196</v>
      </c>
    </row>
    <row r="288" spans="1:6" ht="15.75" customHeight="1" x14ac:dyDescent="0.3">
      <c r="A288" s="25" t="s">
        <v>62</v>
      </c>
      <c r="B288" s="25" t="s">
        <v>95</v>
      </c>
      <c r="C288" s="23">
        <v>7</v>
      </c>
      <c r="D288" s="23">
        <v>6500</v>
      </c>
      <c r="E288" s="24">
        <v>45500</v>
      </c>
      <c r="F288" s="25" t="s">
        <v>196</v>
      </c>
    </row>
    <row r="289" spans="1:6" ht="15.75" customHeight="1" x14ac:dyDescent="0.3">
      <c r="A289" s="28" t="s">
        <v>53</v>
      </c>
      <c r="B289" s="28" t="s">
        <v>91</v>
      </c>
      <c r="C289" s="26">
        <v>4.5</v>
      </c>
      <c r="D289" s="26">
        <v>5000</v>
      </c>
      <c r="E289" s="27">
        <v>22500</v>
      </c>
      <c r="F289" s="28" t="s">
        <v>196</v>
      </c>
    </row>
    <row r="290" spans="1:6" ht="15.75" customHeight="1" x14ac:dyDescent="0.3">
      <c r="A290" s="25" t="s">
        <v>5</v>
      </c>
      <c r="B290" s="25" t="s">
        <v>121</v>
      </c>
      <c r="C290" s="23">
        <v>11</v>
      </c>
      <c r="D290" s="23">
        <v>9000</v>
      </c>
      <c r="E290" s="24">
        <v>99000</v>
      </c>
      <c r="F290" s="25" t="s">
        <v>196</v>
      </c>
    </row>
    <row r="291" spans="1:6" ht="15.75" customHeight="1" x14ac:dyDescent="0.3">
      <c r="A291" s="28" t="s">
        <v>90</v>
      </c>
      <c r="B291" s="28" t="s">
        <v>134</v>
      </c>
      <c r="C291" s="26">
        <v>6</v>
      </c>
      <c r="D291" s="26">
        <v>20000</v>
      </c>
      <c r="E291" s="27">
        <v>120000</v>
      </c>
      <c r="F291" s="28" t="s">
        <v>196</v>
      </c>
    </row>
    <row r="292" spans="1:6" ht="15.75" customHeight="1" x14ac:dyDescent="0.3">
      <c r="A292" s="25" t="s">
        <v>90</v>
      </c>
      <c r="B292" s="25" t="s">
        <v>150</v>
      </c>
      <c r="C292" s="23">
        <v>15</v>
      </c>
      <c r="D292" s="23">
        <v>5500</v>
      </c>
      <c r="E292" s="24">
        <v>82500</v>
      </c>
      <c r="F292" s="25" t="s">
        <v>196</v>
      </c>
    </row>
    <row r="293" spans="1:6" ht="15.75" customHeight="1" x14ac:dyDescent="0.3">
      <c r="A293" s="28" t="s">
        <v>90</v>
      </c>
      <c r="B293" s="28" t="s">
        <v>150</v>
      </c>
      <c r="C293" s="26">
        <v>9</v>
      </c>
      <c r="D293" s="26">
        <v>5000</v>
      </c>
      <c r="E293" s="27">
        <v>45000</v>
      </c>
      <c r="F293" s="28" t="s">
        <v>196</v>
      </c>
    </row>
    <row r="294" spans="1:6" ht="15.75" customHeight="1" x14ac:dyDescent="0.3">
      <c r="A294" s="25" t="s">
        <v>90</v>
      </c>
      <c r="B294" s="25" t="s">
        <v>150</v>
      </c>
      <c r="C294" s="23">
        <v>43</v>
      </c>
      <c r="D294" s="23">
        <v>4000</v>
      </c>
      <c r="E294" s="24">
        <v>172000</v>
      </c>
      <c r="F294" s="25" t="s">
        <v>196</v>
      </c>
    </row>
    <row r="295" spans="1:6" ht="15.75" customHeight="1" x14ac:dyDescent="0.3">
      <c r="A295" s="28" t="s">
        <v>90</v>
      </c>
      <c r="B295" s="28" t="s">
        <v>6</v>
      </c>
      <c r="C295" s="26">
        <v>31</v>
      </c>
      <c r="D295" s="26">
        <v>5000</v>
      </c>
      <c r="E295" s="27">
        <v>155000</v>
      </c>
      <c r="F295" s="28" t="s">
        <v>196</v>
      </c>
    </row>
    <row r="296" spans="1:6" ht="15.75" customHeight="1" x14ac:dyDescent="0.3">
      <c r="A296" s="25" t="s">
        <v>63</v>
      </c>
      <c r="B296" s="25" t="s">
        <v>96</v>
      </c>
      <c r="C296" s="23">
        <v>4</v>
      </c>
      <c r="D296" s="23">
        <v>6000</v>
      </c>
      <c r="E296" s="24">
        <v>24000</v>
      </c>
      <c r="F296" s="25" t="s">
        <v>196</v>
      </c>
    </row>
    <row r="297" spans="1:6" ht="15.75" customHeight="1" x14ac:dyDescent="0.3">
      <c r="A297" s="28" t="s">
        <v>90</v>
      </c>
      <c r="B297" s="28" t="s">
        <v>122</v>
      </c>
      <c r="C297" s="26">
        <v>8.5</v>
      </c>
      <c r="D297" s="26">
        <v>5000</v>
      </c>
      <c r="E297" s="27">
        <v>42500</v>
      </c>
      <c r="F297" s="28" t="s">
        <v>196</v>
      </c>
    </row>
    <row r="298" spans="1:6" ht="15.75" customHeight="1" x14ac:dyDescent="0.3">
      <c r="A298" s="25" t="s">
        <v>90</v>
      </c>
      <c r="B298" s="25" t="s">
        <v>122</v>
      </c>
      <c r="C298" s="23">
        <v>174</v>
      </c>
      <c r="D298" s="23">
        <v>4000</v>
      </c>
      <c r="E298" s="24">
        <v>696000</v>
      </c>
      <c r="F298" s="25" t="s">
        <v>196</v>
      </c>
    </row>
    <row r="299" spans="1:6" ht="15.75" customHeight="1" x14ac:dyDescent="0.3">
      <c r="A299" s="28" t="s">
        <v>90</v>
      </c>
      <c r="B299" s="28" t="s">
        <v>147</v>
      </c>
      <c r="C299" s="26">
        <v>4</v>
      </c>
      <c r="D299" s="26">
        <v>3000</v>
      </c>
      <c r="E299" s="27">
        <v>12000</v>
      </c>
      <c r="F299" s="28" t="s">
        <v>196</v>
      </c>
    </row>
    <row r="300" spans="1:6" ht="15.75" customHeight="1" x14ac:dyDescent="0.3">
      <c r="A300" s="25" t="s">
        <v>90</v>
      </c>
      <c r="B300" s="25" t="s">
        <v>143</v>
      </c>
      <c r="C300" s="23">
        <v>1</v>
      </c>
      <c r="D300" s="23">
        <v>10000</v>
      </c>
      <c r="E300" s="24">
        <v>10000</v>
      </c>
      <c r="F300" s="25" t="s">
        <v>196</v>
      </c>
    </row>
    <row r="301" spans="1:6" ht="15.75" customHeight="1" x14ac:dyDescent="0.3">
      <c r="A301" s="28" t="s">
        <v>39</v>
      </c>
      <c r="B301" s="28" t="s">
        <v>123</v>
      </c>
      <c r="C301" s="26">
        <v>18.5</v>
      </c>
      <c r="D301" s="26">
        <v>16000</v>
      </c>
      <c r="E301" s="27">
        <v>296000</v>
      </c>
      <c r="F301" s="28" t="s">
        <v>196</v>
      </c>
    </row>
    <row r="302" spans="1:6" ht="15.75" customHeight="1" x14ac:dyDescent="0.3">
      <c r="A302" s="25" t="s">
        <v>39</v>
      </c>
      <c r="B302" s="25" t="s">
        <v>138</v>
      </c>
      <c r="C302" s="23">
        <v>10.5</v>
      </c>
      <c r="D302" s="23">
        <v>7500</v>
      </c>
      <c r="E302" s="24">
        <v>78750</v>
      </c>
      <c r="F302" s="25" t="s">
        <v>196</v>
      </c>
    </row>
    <row r="303" spans="1:6" ht="15.75" customHeight="1" x14ac:dyDescent="0.3">
      <c r="A303" s="28" t="s">
        <v>39</v>
      </c>
      <c r="B303" s="28" t="s">
        <v>98</v>
      </c>
      <c r="C303" s="26">
        <v>7.5</v>
      </c>
      <c r="D303" s="26">
        <v>11000</v>
      </c>
      <c r="E303" s="27">
        <v>82500</v>
      </c>
      <c r="F303" s="28" t="s">
        <v>196</v>
      </c>
    </row>
    <row r="304" spans="1:6" ht="15.75" customHeight="1" x14ac:dyDescent="0.3">
      <c r="A304" s="25" t="s">
        <v>39</v>
      </c>
      <c r="B304" s="25" t="s">
        <v>174</v>
      </c>
      <c r="C304" s="23">
        <v>1.5</v>
      </c>
      <c r="D304" s="23">
        <v>5000</v>
      </c>
      <c r="E304" s="24">
        <v>7500</v>
      </c>
      <c r="F304" s="25" t="s">
        <v>196</v>
      </c>
    </row>
    <row r="305" spans="1:6" ht="15.75" customHeight="1" x14ac:dyDescent="0.3">
      <c r="A305" s="28" t="s">
        <v>9</v>
      </c>
      <c r="B305" s="28" t="s">
        <v>9</v>
      </c>
      <c r="C305" s="26">
        <v>275</v>
      </c>
      <c r="D305" s="26">
        <v>8000</v>
      </c>
      <c r="E305" s="27">
        <v>2200000</v>
      </c>
      <c r="F305" s="28" t="s">
        <v>196</v>
      </c>
    </row>
    <row r="306" spans="1:6" ht="14.25" customHeight="1" x14ac:dyDescent="0.3">
      <c r="A306" s="25" t="s">
        <v>54</v>
      </c>
      <c r="B306" s="25" t="s">
        <v>115</v>
      </c>
      <c r="C306" s="23">
        <v>12</v>
      </c>
      <c r="D306" s="23">
        <v>3500</v>
      </c>
      <c r="E306" s="24">
        <v>42000</v>
      </c>
      <c r="F306" s="25" t="s">
        <v>196</v>
      </c>
    </row>
    <row r="307" spans="1:6" ht="15" customHeight="1" x14ac:dyDescent="0.3">
      <c r="A307" s="28" t="s">
        <v>21</v>
      </c>
      <c r="B307" s="28" t="s">
        <v>118</v>
      </c>
      <c r="C307" s="26">
        <v>10.5</v>
      </c>
      <c r="D307" s="26">
        <v>13500</v>
      </c>
      <c r="E307" s="27">
        <v>141750</v>
      </c>
      <c r="F307" s="28" t="s">
        <v>196</v>
      </c>
    </row>
    <row r="308" spans="1:6" ht="15" customHeight="1" x14ac:dyDescent="0.3">
      <c r="A308" s="25" t="s">
        <v>21</v>
      </c>
      <c r="B308" s="25" t="s">
        <v>119</v>
      </c>
      <c r="C308" s="23">
        <v>108</v>
      </c>
      <c r="D308" s="23">
        <v>12500</v>
      </c>
      <c r="E308" s="24">
        <v>1350000</v>
      </c>
      <c r="F308" s="25" t="s">
        <v>196</v>
      </c>
    </row>
    <row r="309" spans="1:6" ht="15" customHeight="1" x14ac:dyDescent="0.3">
      <c r="A309" s="28" t="s">
        <v>21</v>
      </c>
      <c r="B309" s="28" t="s">
        <v>125</v>
      </c>
      <c r="C309" s="26">
        <v>54.5</v>
      </c>
      <c r="D309" s="26">
        <v>11000</v>
      </c>
      <c r="E309" s="27">
        <v>599500</v>
      </c>
      <c r="F309" s="28" t="s">
        <v>196</v>
      </c>
    </row>
    <row r="310" spans="1:6" ht="15" customHeight="1" x14ac:dyDescent="0.3">
      <c r="A310" s="25" t="s">
        <v>21</v>
      </c>
      <c r="B310" s="25" t="s">
        <v>112</v>
      </c>
      <c r="C310" s="23">
        <v>4</v>
      </c>
      <c r="D310" s="23">
        <v>7000</v>
      </c>
      <c r="E310" s="24">
        <v>28000</v>
      </c>
      <c r="F310" s="25" t="s">
        <v>196</v>
      </c>
    </row>
    <row r="311" spans="1:6" ht="15" customHeight="1" x14ac:dyDescent="0.3">
      <c r="A311" s="28" t="s">
        <v>61</v>
      </c>
      <c r="B311" s="28" t="s">
        <v>120</v>
      </c>
      <c r="C311" s="26">
        <v>4.5</v>
      </c>
      <c r="D311" s="26">
        <v>12000</v>
      </c>
      <c r="E311" s="27">
        <v>54000</v>
      </c>
      <c r="F311" s="28" t="s">
        <v>196</v>
      </c>
    </row>
    <row r="312" spans="1:6" ht="15" customHeight="1" x14ac:dyDescent="0.3">
      <c r="A312" s="25" t="s">
        <v>61</v>
      </c>
      <c r="B312" s="25" t="s">
        <v>114</v>
      </c>
      <c r="C312" s="23">
        <v>12.5</v>
      </c>
      <c r="D312" s="23">
        <v>10000</v>
      </c>
      <c r="E312" s="24">
        <v>125000</v>
      </c>
      <c r="F312" s="25" t="s">
        <v>196</v>
      </c>
    </row>
    <row r="313" spans="1:6" ht="15" customHeight="1" x14ac:dyDescent="0.3">
      <c r="A313" s="28" t="s">
        <v>65</v>
      </c>
      <c r="B313" s="28" t="s">
        <v>135</v>
      </c>
      <c r="C313" s="26">
        <v>449.5</v>
      </c>
      <c r="D313" s="26">
        <v>7000</v>
      </c>
      <c r="E313" s="27">
        <v>3146500</v>
      </c>
      <c r="F313" s="28" t="s">
        <v>196</v>
      </c>
    </row>
    <row r="314" spans="1:6" ht="15" customHeight="1" x14ac:dyDescent="0.3">
      <c r="A314" s="25" t="s">
        <v>65</v>
      </c>
      <c r="B314" s="25" t="s">
        <v>135</v>
      </c>
      <c r="C314" s="23">
        <v>658</v>
      </c>
      <c r="D314" s="23">
        <v>6500</v>
      </c>
      <c r="E314" s="24">
        <v>4277000</v>
      </c>
      <c r="F314" s="25" t="s">
        <v>196</v>
      </c>
    </row>
    <row r="315" spans="1:6" ht="15" customHeight="1" x14ac:dyDescent="0.3">
      <c r="A315" s="28" t="s">
        <v>65</v>
      </c>
      <c r="B315" s="28" t="s">
        <v>176</v>
      </c>
      <c r="C315" s="26">
        <v>113</v>
      </c>
      <c r="D315" s="26">
        <v>8000</v>
      </c>
      <c r="E315" s="27">
        <v>904000</v>
      </c>
      <c r="F315" s="28" t="s">
        <v>196</v>
      </c>
    </row>
    <row r="316" spans="1:6" ht="15" customHeight="1" x14ac:dyDescent="0.3">
      <c r="A316" s="25" t="s">
        <v>11</v>
      </c>
      <c r="B316" s="25" t="s">
        <v>126</v>
      </c>
      <c r="C316" s="23">
        <v>34</v>
      </c>
      <c r="D316" s="23">
        <v>13500</v>
      </c>
      <c r="E316" s="24">
        <v>459000</v>
      </c>
      <c r="F316" s="25" t="s">
        <v>196</v>
      </c>
    </row>
    <row r="317" spans="1:6" ht="15" customHeight="1" x14ac:dyDescent="0.3">
      <c r="A317" s="28" t="s">
        <v>11</v>
      </c>
      <c r="B317" s="28" t="s">
        <v>126</v>
      </c>
      <c r="C317" s="26">
        <v>39</v>
      </c>
      <c r="D317" s="26">
        <v>13000</v>
      </c>
      <c r="E317" s="27">
        <v>507000</v>
      </c>
      <c r="F317" s="28" t="s">
        <v>196</v>
      </c>
    </row>
    <row r="318" spans="1:6" ht="15" customHeight="1" x14ac:dyDescent="0.3">
      <c r="A318" s="25" t="s">
        <v>11</v>
      </c>
      <c r="B318" s="25" t="s">
        <v>126</v>
      </c>
      <c r="C318" s="23">
        <v>10</v>
      </c>
      <c r="D318" s="23">
        <v>12500</v>
      </c>
      <c r="E318" s="24">
        <v>125000</v>
      </c>
      <c r="F318" s="25" t="s">
        <v>196</v>
      </c>
    </row>
    <row r="319" spans="1:6" ht="15" customHeight="1" x14ac:dyDescent="0.3">
      <c r="A319" s="28" t="s">
        <v>11</v>
      </c>
      <c r="B319" s="28" t="s">
        <v>127</v>
      </c>
      <c r="C319" s="26">
        <v>10</v>
      </c>
      <c r="D319" s="26">
        <v>11000</v>
      </c>
      <c r="E319" s="27">
        <v>110000</v>
      </c>
      <c r="F319" s="28" t="s">
        <v>196</v>
      </c>
    </row>
    <row r="320" spans="1:6" ht="15" customHeight="1" x14ac:dyDescent="0.3">
      <c r="A320" s="25" t="s">
        <v>11</v>
      </c>
      <c r="B320" s="25" t="s">
        <v>127</v>
      </c>
      <c r="C320" s="23">
        <v>13</v>
      </c>
      <c r="D320" s="23">
        <v>9500</v>
      </c>
      <c r="E320" s="24">
        <v>123500</v>
      </c>
      <c r="F320" s="25" t="s">
        <v>196</v>
      </c>
    </row>
    <row r="321" spans="1:6" ht="15" customHeight="1" x14ac:dyDescent="0.3">
      <c r="A321" s="28" t="s">
        <v>11</v>
      </c>
      <c r="B321" s="28" t="s">
        <v>126</v>
      </c>
      <c r="C321" s="26">
        <v>92.5</v>
      </c>
      <c r="D321" s="26">
        <v>11500</v>
      </c>
      <c r="E321" s="27">
        <v>1063750</v>
      </c>
      <c r="F321" s="28" t="s">
        <v>196</v>
      </c>
    </row>
    <row r="322" spans="1:6" ht="15" customHeight="1" x14ac:dyDescent="0.3">
      <c r="A322" s="25" t="s">
        <v>31</v>
      </c>
      <c r="B322" s="25" t="s">
        <v>180</v>
      </c>
      <c r="C322" s="23">
        <v>5</v>
      </c>
      <c r="D322" s="23">
        <v>22000</v>
      </c>
      <c r="E322" s="24">
        <v>110000</v>
      </c>
      <c r="F322" s="25" t="s">
        <v>196</v>
      </c>
    </row>
    <row r="323" spans="1:6" ht="15" customHeight="1" x14ac:dyDescent="0.3">
      <c r="A323" s="28" t="s">
        <v>31</v>
      </c>
      <c r="B323" s="28" t="s">
        <v>129</v>
      </c>
      <c r="C323" s="26">
        <v>13</v>
      </c>
      <c r="D323" s="26">
        <v>17500</v>
      </c>
      <c r="E323" s="27">
        <v>227500</v>
      </c>
      <c r="F323" s="28" t="s">
        <v>196</v>
      </c>
    </row>
    <row r="324" spans="1:6" ht="15" customHeight="1" x14ac:dyDescent="0.3">
      <c r="A324" s="25" t="s">
        <v>31</v>
      </c>
      <c r="B324" s="25" t="s">
        <v>128</v>
      </c>
      <c r="C324" s="23">
        <v>11</v>
      </c>
      <c r="D324" s="23">
        <v>22000</v>
      </c>
      <c r="E324" s="24">
        <v>242000</v>
      </c>
      <c r="F324" s="25" t="s">
        <v>196</v>
      </c>
    </row>
    <row r="325" spans="1:6" ht="15" customHeight="1" x14ac:dyDescent="0.3">
      <c r="A325" s="28" t="s">
        <v>31</v>
      </c>
      <c r="B325" s="28" t="s">
        <v>130</v>
      </c>
      <c r="C325" s="26">
        <v>1</v>
      </c>
      <c r="D325" s="26">
        <v>20000</v>
      </c>
      <c r="E325" s="27">
        <v>20000</v>
      </c>
      <c r="F325" s="28" t="s">
        <v>196</v>
      </c>
    </row>
    <row r="326" spans="1:6" ht="15" customHeight="1" x14ac:dyDescent="0.3">
      <c r="A326" s="25" t="s">
        <v>31</v>
      </c>
      <c r="B326" s="25" t="s">
        <v>131</v>
      </c>
      <c r="C326" s="23">
        <v>1.5</v>
      </c>
      <c r="D326" s="23">
        <v>14000</v>
      </c>
      <c r="E326" s="24">
        <v>21000</v>
      </c>
      <c r="F326" s="25" t="s">
        <v>196</v>
      </c>
    </row>
    <row r="327" spans="1:6" ht="15" customHeight="1" x14ac:dyDescent="0.3">
      <c r="A327" s="28" t="s">
        <v>14</v>
      </c>
      <c r="B327" s="28" t="s">
        <v>109</v>
      </c>
      <c r="C327" s="26">
        <v>317</v>
      </c>
      <c r="D327" s="26">
        <v>9000</v>
      </c>
      <c r="E327" s="27">
        <v>2853000</v>
      </c>
      <c r="F327" s="28" t="s">
        <v>196</v>
      </c>
    </row>
    <row r="328" spans="1:6" ht="15" customHeight="1" x14ac:dyDescent="0.3">
      <c r="A328" s="25" t="s">
        <v>14</v>
      </c>
      <c r="B328" s="25" t="s">
        <v>109</v>
      </c>
      <c r="C328" s="23">
        <v>22</v>
      </c>
      <c r="D328" s="23">
        <v>9500</v>
      </c>
      <c r="E328" s="24">
        <v>209000</v>
      </c>
      <c r="F328" s="25" t="s">
        <v>196</v>
      </c>
    </row>
    <row r="329" spans="1:6" ht="15" customHeight="1" x14ac:dyDescent="0.3">
      <c r="A329" s="28" t="s">
        <v>14</v>
      </c>
      <c r="B329" s="28" t="s">
        <v>116</v>
      </c>
      <c r="C329" s="26">
        <v>26</v>
      </c>
      <c r="D329" s="26">
        <v>8000</v>
      </c>
      <c r="E329" s="27">
        <v>208000</v>
      </c>
      <c r="F329" s="28" t="s">
        <v>196</v>
      </c>
    </row>
    <row r="330" spans="1:6" ht="15" customHeight="1" x14ac:dyDescent="0.3">
      <c r="A330" s="25" t="s">
        <v>14</v>
      </c>
      <c r="B330" s="25" t="s">
        <v>116</v>
      </c>
      <c r="C330" s="23">
        <v>9</v>
      </c>
      <c r="D330" s="23">
        <v>7500</v>
      </c>
      <c r="E330" s="24">
        <v>67500</v>
      </c>
      <c r="F330" s="25" t="s">
        <v>196</v>
      </c>
    </row>
    <row r="331" spans="1:6" ht="15" customHeight="1" x14ac:dyDescent="0.3">
      <c r="A331" s="28" t="s">
        <v>14</v>
      </c>
      <c r="B331" s="28" t="s">
        <v>189</v>
      </c>
      <c r="C331" s="26">
        <v>1</v>
      </c>
      <c r="D331" s="26">
        <v>3000</v>
      </c>
      <c r="E331" s="27">
        <v>3000</v>
      </c>
      <c r="F331" s="28" t="s">
        <v>196</v>
      </c>
    </row>
    <row r="332" spans="1:6" ht="15" customHeight="1" x14ac:dyDescent="0.3">
      <c r="A332" s="25" t="s">
        <v>14</v>
      </c>
      <c r="B332" s="25" t="s">
        <v>116</v>
      </c>
      <c r="C332" s="23">
        <v>19.5</v>
      </c>
      <c r="D332" s="23">
        <v>6500</v>
      </c>
      <c r="E332" s="24">
        <v>126750</v>
      </c>
      <c r="F332" s="25" t="s">
        <v>196</v>
      </c>
    </row>
    <row r="333" spans="1:6" ht="15" customHeight="1" x14ac:dyDescent="0.3">
      <c r="A333" s="28" t="s">
        <v>44</v>
      </c>
      <c r="B333" s="28" t="s">
        <v>15</v>
      </c>
      <c r="C333" s="26">
        <v>283.5</v>
      </c>
      <c r="D333" s="26">
        <v>7500</v>
      </c>
      <c r="E333" s="27">
        <v>2126250</v>
      </c>
      <c r="F333" s="28" t="s">
        <v>196</v>
      </c>
    </row>
    <row r="334" spans="1:6" ht="15" customHeight="1" x14ac:dyDescent="0.3">
      <c r="A334" s="25" t="s">
        <v>44</v>
      </c>
      <c r="B334" s="25" t="s">
        <v>15</v>
      </c>
      <c r="C334" s="23">
        <v>113</v>
      </c>
      <c r="D334" s="23">
        <v>8000</v>
      </c>
      <c r="E334" s="24">
        <v>904000</v>
      </c>
      <c r="F334" s="25" t="s">
        <v>196</v>
      </c>
    </row>
    <row r="335" spans="1:6" ht="15" customHeight="1" x14ac:dyDescent="0.3">
      <c r="A335" s="28" t="s">
        <v>44</v>
      </c>
      <c r="B335" s="28" t="s">
        <v>15</v>
      </c>
      <c r="C335" s="26">
        <v>76.5</v>
      </c>
      <c r="D335" s="26">
        <v>8500</v>
      </c>
      <c r="E335" s="27">
        <v>650250</v>
      </c>
      <c r="F335" s="28" t="s">
        <v>196</v>
      </c>
    </row>
    <row r="336" spans="1:6" ht="15" customHeight="1" x14ac:dyDescent="0.3">
      <c r="A336" s="25" t="s">
        <v>44</v>
      </c>
      <c r="B336" s="25" t="s">
        <v>106</v>
      </c>
      <c r="C336" s="23">
        <v>10.5</v>
      </c>
      <c r="D336" s="23">
        <v>11000</v>
      </c>
      <c r="E336" s="24">
        <v>115500</v>
      </c>
      <c r="F336" s="25" t="s">
        <v>196</v>
      </c>
    </row>
    <row r="337" spans="1:6" ht="15" customHeight="1" x14ac:dyDescent="0.3">
      <c r="A337" s="28" t="s">
        <v>44</v>
      </c>
      <c r="B337" s="28" t="s">
        <v>140</v>
      </c>
      <c r="C337" s="26">
        <v>20.5</v>
      </c>
      <c r="D337" s="26">
        <v>9000</v>
      </c>
      <c r="E337" s="27">
        <v>184500</v>
      </c>
      <c r="F337" s="28" t="s">
        <v>196</v>
      </c>
    </row>
    <row r="338" spans="1:6" ht="15" customHeight="1" x14ac:dyDescent="0.3">
      <c r="A338" s="25" t="s">
        <v>90</v>
      </c>
      <c r="B338" s="25" t="s">
        <v>117</v>
      </c>
      <c r="C338" s="23">
        <v>1</v>
      </c>
      <c r="D338" s="23">
        <v>5000</v>
      </c>
      <c r="E338" s="24">
        <v>5000</v>
      </c>
      <c r="F338" s="25" t="s">
        <v>197</v>
      </c>
    </row>
    <row r="339" spans="1:6" ht="15" customHeight="1" x14ac:dyDescent="0.3">
      <c r="A339" s="28" t="s">
        <v>3</v>
      </c>
      <c r="B339" s="28" t="s">
        <v>146</v>
      </c>
      <c r="C339" s="26">
        <v>5181.5</v>
      </c>
      <c r="D339" s="26">
        <v>11000</v>
      </c>
      <c r="E339" s="27">
        <v>56996500</v>
      </c>
      <c r="F339" s="28" t="s">
        <v>197</v>
      </c>
    </row>
    <row r="340" spans="1:6" ht="15" customHeight="1" x14ac:dyDescent="0.3">
      <c r="A340" s="25" t="s">
        <v>25</v>
      </c>
      <c r="B340" s="25" t="s">
        <v>25</v>
      </c>
      <c r="C340" s="23">
        <v>1</v>
      </c>
      <c r="D340" s="23">
        <v>12500</v>
      </c>
      <c r="E340" s="24">
        <v>12500</v>
      </c>
      <c r="F340" s="25" t="s">
        <v>197</v>
      </c>
    </row>
    <row r="341" spans="1:6" ht="15" customHeight="1" x14ac:dyDescent="0.3">
      <c r="A341" s="28" t="s">
        <v>4</v>
      </c>
      <c r="B341" s="28" t="s">
        <v>4</v>
      </c>
      <c r="C341" s="26">
        <v>88.5</v>
      </c>
      <c r="D341" s="26">
        <v>16000</v>
      </c>
      <c r="E341" s="27">
        <v>1416000</v>
      </c>
      <c r="F341" s="28" t="s">
        <v>197</v>
      </c>
    </row>
    <row r="342" spans="1:6" ht="15" customHeight="1" x14ac:dyDescent="0.3">
      <c r="A342" s="25" t="s">
        <v>4</v>
      </c>
      <c r="B342" s="25" t="s">
        <v>4</v>
      </c>
      <c r="C342" s="23">
        <v>48.5</v>
      </c>
      <c r="D342" s="23">
        <v>17000</v>
      </c>
      <c r="E342" s="24">
        <v>824500</v>
      </c>
      <c r="F342" s="25" t="s">
        <v>197</v>
      </c>
    </row>
    <row r="343" spans="1:6" ht="15" customHeight="1" x14ac:dyDescent="0.3">
      <c r="A343" s="28" t="s">
        <v>4</v>
      </c>
      <c r="B343" s="28" t="s">
        <v>4</v>
      </c>
      <c r="C343" s="26">
        <v>55</v>
      </c>
      <c r="D343" s="26">
        <v>17000</v>
      </c>
      <c r="E343" s="27">
        <v>935000</v>
      </c>
      <c r="F343" s="28" t="s">
        <v>197</v>
      </c>
    </row>
    <row r="344" spans="1:6" ht="15" customHeight="1" x14ac:dyDescent="0.3">
      <c r="A344" s="25" t="s">
        <v>16</v>
      </c>
      <c r="B344" s="25" t="s">
        <v>16</v>
      </c>
      <c r="C344" s="23">
        <v>66.5</v>
      </c>
      <c r="D344" s="23">
        <v>7000</v>
      </c>
      <c r="E344" s="24">
        <v>465500</v>
      </c>
      <c r="F344" s="25" t="s">
        <v>197</v>
      </c>
    </row>
    <row r="345" spans="1:6" ht="15" customHeight="1" x14ac:dyDescent="0.3">
      <c r="A345" s="28" t="s">
        <v>5</v>
      </c>
      <c r="B345" s="28" t="s">
        <v>121</v>
      </c>
      <c r="C345" s="26">
        <v>38</v>
      </c>
      <c r="D345" s="26">
        <v>9000</v>
      </c>
      <c r="E345" s="27">
        <v>342000</v>
      </c>
      <c r="F345" s="28" t="s">
        <v>197</v>
      </c>
    </row>
    <row r="346" spans="1:6" ht="15" customHeight="1" x14ac:dyDescent="0.3">
      <c r="A346" s="25" t="s">
        <v>90</v>
      </c>
      <c r="B346" s="25" t="s">
        <v>134</v>
      </c>
      <c r="C346" s="23">
        <v>11.5</v>
      </c>
      <c r="D346" s="23">
        <v>20000</v>
      </c>
      <c r="E346" s="24">
        <v>230000</v>
      </c>
      <c r="F346" s="25" t="s">
        <v>197</v>
      </c>
    </row>
    <row r="347" spans="1:6" ht="15" customHeight="1" x14ac:dyDescent="0.3">
      <c r="A347" s="28" t="s">
        <v>90</v>
      </c>
      <c r="B347" s="28" t="s">
        <v>150</v>
      </c>
      <c r="C347" s="26">
        <v>7</v>
      </c>
      <c r="D347" s="26">
        <v>4000</v>
      </c>
      <c r="E347" s="27">
        <v>28000</v>
      </c>
      <c r="F347" s="28" t="s">
        <v>197</v>
      </c>
    </row>
    <row r="348" spans="1:6" ht="15" customHeight="1" x14ac:dyDescent="0.3">
      <c r="A348" s="25" t="s">
        <v>90</v>
      </c>
      <c r="B348" s="25" t="s">
        <v>6</v>
      </c>
      <c r="C348" s="23">
        <v>28.5</v>
      </c>
      <c r="D348" s="23">
        <v>5000</v>
      </c>
      <c r="E348" s="24">
        <v>142500</v>
      </c>
      <c r="F348" s="25" t="s">
        <v>197</v>
      </c>
    </row>
    <row r="349" spans="1:6" ht="15" customHeight="1" x14ac:dyDescent="0.3">
      <c r="A349" s="28" t="s">
        <v>90</v>
      </c>
      <c r="B349" s="28" t="s">
        <v>143</v>
      </c>
      <c r="C349" s="26">
        <v>3</v>
      </c>
      <c r="D349" s="26">
        <v>10000</v>
      </c>
      <c r="E349" s="27">
        <v>30000</v>
      </c>
      <c r="F349" s="28" t="s">
        <v>197</v>
      </c>
    </row>
    <row r="350" spans="1:6" ht="15" customHeight="1" x14ac:dyDescent="0.3">
      <c r="A350" s="25" t="s">
        <v>90</v>
      </c>
      <c r="B350" s="25" t="s">
        <v>122</v>
      </c>
      <c r="C350" s="23">
        <v>90.5</v>
      </c>
      <c r="D350" s="23">
        <v>4000</v>
      </c>
      <c r="E350" s="24">
        <v>362000</v>
      </c>
      <c r="F350" s="25" t="s">
        <v>197</v>
      </c>
    </row>
    <row r="351" spans="1:6" ht="15" customHeight="1" x14ac:dyDescent="0.3">
      <c r="A351" s="28" t="s">
        <v>90</v>
      </c>
      <c r="B351" s="28" t="s">
        <v>19</v>
      </c>
      <c r="C351" s="26">
        <v>27.5</v>
      </c>
      <c r="D351" s="26">
        <v>10000</v>
      </c>
      <c r="E351" s="27">
        <v>275000</v>
      </c>
      <c r="F351" s="28" t="s">
        <v>197</v>
      </c>
    </row>
    <row r="352" spans="1:6" ht="15" customHeight="1" x14ac:dyDescent="0.3">
      <c r="A352" s="25" t="s">
        <v>90</v>
      </c>
      <c r="B352" s="25" t="s">
        <v>153</v>
      </c>
      <c r="C352" s="23">
        <v>1.5</v>
      </c>
      <c r="D352" s="23">
        <v>9000</v>
      </c>
      <c r="E352" s="24">
        <v>13500</v>
      </c>
      <c r="F352" s="25" t="s">
        <v>197</v>
      </c>
    </row>
    <row r="353" spans="1:6" ht="15" customHeight="1" x14ac:dyDescent="0.3">
      <c r="A353" s="28" t="s">
        <v>39</v>
      </c>
      <c r="B353" s="28" t="s">
        <v>138</v>
      </c>
      <c r="C353" s="26">
        <v>3.5</v>
      </c>
      <c r="D353" s="26">
        <v>7500</v>
      </c>
      <c r="E353" s="27">
        <v>26250</v>
      </c>
      <c r="F353" s="28" t="s">
        <v>197</v>
      </c>
    </row>
    <row r="354" spans="1:6" ht="15" customHeight="1" x14ac:dyDescent="0.3">
      <c r="A354" s="25" t="s">
        <v>39</v>
      </c>
      <c r="B354" s="25" t="s">
        <v>98</v>
      </c>
      <c r="C354" s="23">
        <v>5</v>
      </c>
      <c r="D354" s="23">
        <v>11000</v>
      </c>
      <c r="E354" s="24">
        <v>55000</v>
      </c>
      <c r="F354" s="25" t="s">
        <v>197</v>
      </c>
    </row>
    <row r="355" spans="1:6" ht="15" customHeight="1" x14ac:dyDescent="0.3">
      <c r="A355" s="28" t="s">
        <v>9</v>
      </c>
      <c r="B355" s="28" t="s">
        <v>9</v>
      </c>
      <c r="C355" s="26">
        <v>80.5</v>
      </c>
      <c r="D355" s="26">
        <v>8000</v>
      </c>
      <c r="E355" s="27">
        <v>644000</v>
      </c>
      <c r="F355" s="28" t="s">
        <v>197</v>
      </c>
    </row>
    <row r="356" spans="1:6" ht="15" customHeight="1" x14ac:dyDescent="0.3">
      <c r="A356" s="25" t="s">
        <v>9</v>
      </c>
      <c r="B356" s="25" t="s">
        <v>9</v>
      </c>
      <c r="C356" s="23">
        <v>79.5</v>
      </c>
      <c r="D356" s="23">
        <v>7000</v>
      </c>
      <c r="E356" s="24">
        <v>556500</v>
      </c>
      <c r="F356" s="25" t="s">
        <v>197</v>
      </c>
    </row>
    <row r="357" spans="1:6" ht="15" customHeight="1" x14ac:dyDescent="0.3">
      <c r="A357" s="28" t="s">
        <v>54</v>
      </c>
      <c r="B357" s="28" t="s">
        <v>139</v>
      </c>
      <c r="C357" s="26">
        <v>1.5</v>
      </c>
      <c r="D357" s="26">
        <v>4000</v>
      </c>
      <c r="E357" s="27">
        <v>6000</v>
      </c>
      <c r="F357" s="28" t="s">
        <v>197</v>
      </c>
    </row>
    <row r="358" spans="1:6" ht="15" customHeight="1" x14ac:dyDescent="0.3">
      <c r="A358" s="25" t="s">
        <v>54</v>
      </c>
      <c r="B358" s="25" t="s">
        <v>115</v>
      </c>
      <c r="C358" s="23">
        <v>18.5</v>
      </c>
      <c r="D358" s="23">
        <v>3500</v>
      </c>
      <c r="E358" s="24">
        <v>64750</v>
      </c>
      <c r="F358" s="25" t="s">
        <v>197</v>
      </c>
    </row>
    <row r="359" spans="1:6" ht="15" customHeight="1" x14ac:dyDescent="0.3">
      <c r="A359" s="28" t="s">
        <v>21</v>
      </c>
      <c r="B359" s="28" t="s">
        <v>118</v>
      </c>
      <c r="C359" s="26">
        <v>1.5</v>
      </c>
      <c r="D359" s="26">
        <v>13500</v>
      </c>
      <c r="E359" s="27">
        <v>20250</v>
      </c>
      <c r="F359" s="28" t="s">
        <v>197</v>
      </c>
    </row>
    <row r="360" spans="1:6" ht="15" customHeight="1" x14ac:dyDescent="0.3">
      <c r="A360" s="25" t="s">
        <v>21</v>
      </c>
      <c r="B360" s="25" t="s">
        <v>119</v>
      </c>
      <c r="C360" s="23">
        <v>31</v>
      </c>
      <c r="D360" s="23">
        <v>12500</v>
      </c>
      <c r="E360" s="24">
        <v>387500</v>
      </c>
      <c r="F360" s="25" t="s">
        <v>197</v>
      </c>
    </row>
    <row r="361" spans="1:6" ht="15" customHeight="1" x14ac:dyDescent="0.3">
      <c r="A361" s="28" t="s">
        <v>21</v>
      </c>
      <c r="B361" s="28" t="s">
        <v>125</v>
      </c>
      <c r="C361" s="26">
        <v>17</v>
      </c>
      <c r="D361" s="26">
        <v>11000</v>
      </c>
      <c r="E361" s="27">
        <v>187000</v>
      </c>
      <c r="F361" s="28" t="s">
        <v>197</v>
      </c>
    </row>
    <row r="362" spans="1:6" ht="15" customHeight="1" x14ac:dyDescent="0.3">
      <c r="A362" s="25" t="s">
        <v>21</v>
      </c>
      <c r="B362" s="25" t="s">
        <v>125</v>
      </c>
      <c r="C362" s="23">
        <v>28</v>
      </c>
      <c r="D362" s="23">
        <v>13000</v>
      </c>
      <c r="E362" s="24">
        <v>364000</v>
      </c>
      <c r="F362" s="25" t="s">
        <v>197</v>
      </c>
    </row>
    <row r="363" spans="1:6" ht="15" customHeight="1" x14ac:dyDescent="0.3">
      <c r="A363" s="28" t="s">
        <v>21</v>
      </c>
      <c r="B363" s="28" t="s">
        <v>112</v>
      </c>
      <c r="C363" s="26">
        <v>10</v>
      </c>
      <c r="D363" s="26">
        <v>7000</v>
      </c>
      <c r="E363" s="27">
        <v>70000</v>
      </c>
      <c r="F363" s="28" t="s">
        <v>197</v>
      </c>
    </row>
    <row r="364" spans="1:6" ht="15" customHeight="1" x14ac:dyDescent="0.3">
      <c r="A364" s="25" t="s">
        <v>61</v>
      </c>
      <c r="B364" s="25" t="s">
        <v>120</v>
      </c>
      <c r="C364" s="23">
        <v>15.5</v>
      </c>
      <c r="D364" s="23">
        <v>11000</v>
      </c>
      <c r="E364" s="24">
        <v>170500</v>
      </c>
      <c r="F364" s="25" t="s">
        <v>197</v>
      </c>
    </row>
    <row r="365" spans="1:6" ht="15" customHeight="1" x14ac:dyDescent="0.3">
      <c r="A365" s="28" t="s">
        <v>61</v>
      </c>
      <c r="B365" s="28" t="s">
        <v>114</v>
      </c>
      <c r="C365" s="26">
        <v>10</v>
      </c>
      <c r="D365" s="26">
        <v>9000</v>
      </c>
      <c r="E365" s="27">
        <v>90000</v>
      </c>
      <c r="F365" s="28" t="s">
        <v>197</v>
      </c>
    </row>
    <row r="366" spans="1:6" ht="15" customHeight="1" x14ac:dyDescent="0.3">
      <c r="A366" s="25" t="s">
        <v>65</v>
      </c>
      <c r="B366" s="25" t="s">
        <v>135</v>
      </c>
      <c r="C366" s="23">
        <v>71</v>
      </c>
      <c r="D366" s="23">
        <v>9000</v>
      </c>
      <c r="E366" s="24">
        <v>639000</v>
      </c>
      <c r="F366" s="25" t="s">
        <v>197</v>
      </c>
    </row>
    <row r="367" spans="1:6" ht="15" customHeight="1" x14ac:dyDescent="0.3">
      <c r="A367" s="28" t="s">
        <v>65</v>
      </c>
      <c r="B367" s="28" t="s">
        <v>135</v>
      </c>
      <c r="C367" s="26">
        <v>1124</v>
      </c>
      <c r="D367" s="26">
        <v>6500</v>
      </c>
      <c r="E367" s="27">
        <v>7306000</v>
      </c>
      <c r="F367" s="28" t="s">
        <v>197</v>
      </c>
    </row>
    <row r="368" spans="1:6" ht="15" customHeight="1" x14ac:dyDescent="0.3">
      <c r="A368" s="25" t="s">
        <v>65</v>
      </c>
      <c r="B368" s="25" t="s">
        <v>176</v>
      </c>
      <c r="C368" s="23">
        <v>7.5</v>
      </c>
      <c r="D368" s="23">
        <v>8000</v>
      </c>
      <c r="E368" s="24">
        <v>60000</v>
      </c>
      <c r="F368" s="25" t="s">
        <v>197</v>
      </c>
    </row>
    <row r="369" spans="1:6" ht="15" customHeight="1" x14ac:dyDescent="0.3">
      <c r="A369" s="28" t="s">
        <v>65</v>
      </c>
      <c r="B369" s="28" t="s">
        <v>177</v>
      </c>
      <c r="C369" s="26">
        <v>111</v>
      </c>
      <c r="D369" s="26">
        <v>6600</v>
      </c>
      <c r="E369" s="27">
        <v>732600</v>
      </c>
      <c r="F369" s="28" t="s">
        <v>197</v>
      </c>
    </row>
    <row r="370" spans="1:6" ht="15" customHeight="1" x14ac:dyDescent="0.3">
      <c r="A370" s="25" t="s">
        <v>65</v>
      </c>
      <c r="B370" s="25" t="s">
        <v>178</v>
      </c>
      <c r="C370" s="23">
        <v>311</v>
      </c>
      <c r="D370" s="23">
        <v>6000</v>
      </c>
      <c r="E370" s="24">
        <v>1866000</v>
      </c>
      <c r="F370" s="25" t="s">
        <v>197</v>
      </c>
    </row>
    <row r="371" spans="1:6" ht="15" customHeight="1" x14ac:dyDescent="0.3">
      <c r="A371" s="28" t="s">
        <v>11</v>
      </c>
      <c r="B371" s="28" t="s">
        <v>126</v>
      </c>
      <c r="C371" s="26">
        <v>24.5</v>
      </c>
      <c r="D371" s="26">
        <v>11500</v>
      </c>
      <c r="E371" s="27">
        <v>281750</v>
      </c>
      <c r="F371" s="28" t="s">
        <v>197</v>
      </c>
    </row>
    <row r="372" spans="1:6" ht="15" customHeight="1" x14ac:dyDescent="0.3">
      <c r="A372" s="25" t="s">
        <v>11</v>
      </c>
      <c r="B372" s="25" t="s">
        <v>126</v>
      </c>
      <c r="C372" s="23">
        <v>113.5</v>
      </c>
      <c r="D372" s="23">
        <v>10500</v>
      </c>
      <c r="E372" s="24">
        <v>1191750</v>
      </c>
      <c r="F372" s="25" t="s">
        <v>197</v>
      </c>
    </row>
    <row r="373" spans="1:6" ht="15" customHeight="1" x14ac:dyDescent="0.3">
      <c r="A373" s="28" t="s">
        <v>11</v>
      </c>
      <c r="B373" s="28" t="s">
        <v>127</v>
      </c>
      <c r="C373" s="26">
        <v>1.5</v>
      </c>
      <c r="D373" s="26">
        <v>9500</v>
      </c>
      <c r="E373" s="27">
        <v>14250</v>
      </c>
      <c r="F373" s="28" t="s">
        <v>197</v>
      </c>
    </row>
    <row r="374" spans="1:6" ht="15" customHeight="1" x14ac:dyDescent="0.3">
      <c r="A374" s="25" t="s">
        <v>11</v>
      </c>
      <c r="B374" s="25" t="s">
        <v>127</v>
      </c>
      <c r="C374" s="23">
        <v>58</v>
      </c>
      <c r="D374" s="23">
        <v>9000</v>
      </c>
      <c r="E374" s="24">
        <v>522000</v>
      </c>
      <c r="F374" s="25" t="s">
        <v>197</v>
      </c>
    </row>
    <row r="375" spans="1:6" ht="15" customHeight="1" x14ac:dyDescent="0.3">
      <c r="A375" s="28" t="s">
        <v>31</v>
      </c>
      <c r="B375" s="28" t="s">
        <v>180</v>
      </c>
      <c r="C375" s="26">
        <v>9</v>
      </c>
      <c r="D375" s="26">
        <v>22000</v>
      </c>
      <c r="E375" s="27">
        <v>198000</v>
      </c>
      <c r="F375" s="28" t="s">
        <v>197</v>
      </c>
    </row>
    <row r="376" spans="1:6" ht="15" customHeight="1" x14ac:dyDescent="0.3">
      <c r="A376" s="25" t="s">
        <v>31</v>
      </c>
      <c r="B376" s="25" t="s">
        <v>128</v>
      </c>
      <c r="C376" s="23">
        <v>20</v>
      </c>
      <c r="D376" s="23">
        <v>22000</v>
      </c>
      <c r="E376" s="24">
        <v>440000</v>
      </c>
      <c r="F376" s="25" t="s">
        <v>197</v>
      </c>
    </row>
    <row r="377" spans="1:6" ht="15" customHeight="1" x14ac:dyDescent="0.3">
      <c r="A377" s="28" t="s">
        <v>31</v>
      </c>
      <c r="B377" s="28" t="s">
        <v>129</v>
      </c>
      <c r="C377" s="26">
        <v>12</v>
      </c>
      <c r="D377" s="26">
        <v>17500</v>
      </c>
      <c r="E377" s="27">
        <v>210000</v>
      </c>
      <c r="F377" s="28" t="s">
        <v>197</v>
      </c>
    </row>
    <row r="378" spans="1:6" ht="15" customHeight="1" x14ac:dyDescent="0.3">
      <c r="A378" s="25" t="s">
        <v>31</v>
      </c>
      <c r="B378" s="25" t="s">
        <v>130</v>
      </c>
      <c r="C378" s="23">
        <v>8</v>
      </c>
      <c r="D378" s="23">
        <v>20000</v>
      </c>
      <c r="E378" s="24">
        <v>160000</v>
      </c>
      <c r="F378" s="25" t="s">
        <v>197</v>
      </c>
    </row>
    <row r="379" spans="1:6" ht="15" customHeight="1" x14ac:dyDescent="0.3">
      <c r="A379" s="28" t="s">
        <v>31</v>
      </c>
      <c r="B379" s="28" t="s">
        <v>131</v>
      </c>
      <c r="C379" s="26">
        <v>1.5</v>
      </c>
      <c r="D379" s="26">
        <v>14000</v>
      </c>
      <c r="E379" s="27">
        <v>21000</v>
      </c>
      <c r="F379" s="28" t="s">
        <v>197</v>
      </c>
    </row>
    <row r="380" spans="1:6" ht="15" customHeight="1" x14ac:dyDescent="0.3">
      <c r="A380" s="25" t="s">
        <v>14</v>
      </c>
      <c r="B380" s="25" t="s">
        <v>14</v>
      </c>
      <c r="C380" s="23">
        <v>181</v>
      </c>
      <c r="D380" s="23">
        <v>9000</v>
      </c>
      <c r="E380" s="24">
        <v>1629000</v>
      </c>
      <c r="F380" s="25" t="s">
        <v>197</v>
      </c>
    </row>
    <row r="381" spans="1:6" ht="15" customHeight="1" x14ac:dyDescent="0.3">
      <c r="A381" s="28" t="s">
        <v>14</v>
      </c>
      <c r="B381" s="28" t="s">
        <v>116</v>
      </c>
      <c r="C381" s="26">
        <v>8</v>
      </c>
      <c r="D381" s="26">
        <v>8000</v>
      </c>
      <c r="E381" s="27">
        <v>64000</v>
      </c>
      <c r="F381" s="28" t="s">
        <v>197</v>
      </c>
    </row>
    <row r="382" spans="1:6" ht="15" customHeight="1" x14ac:dyDescent="0.3">
      <c r="A382" s="25" t="s">
        <v>14</v>
      </c>
      <c r="B382" s="25" t="s">
        <v>116</v>
      </c>
      <c r="C382" s="23">
        <v>10</v>
      </c>
      <c r="D382" s="23">
        <v>7500</v>
      </c>
      <c r="E382" s="24">
        <v>75000</v>
      </c>
      <c r="F382" s="25" t="s">
        <v>197</v>
      </c>
    </row>
    <row r="383" spans="1:6" ht="15" customHeight="1" x14ac:dyDescent="0.3">
      <c r="A383" s="28" t="s">
        <v>14</v>
      </c>
      <c r="B383" s="28" t="s">
        <v>116</v>
      </c>
      <c r="C383" s="26">
        <v>13</v>
      </c>
      <c r="D383" s="26">
        <v>8500</v>
      </c>
      <c r="E383" s="27">
        <v>110500</v>
      </c>
      <c r="F383" s="28" t="s">
        <v>197</v>
      </c>
    </row>
    <row r="384" spans="1:6" ht="15" customHeight="1" x14ac:dyDescent="0.3">
      <c r="A384" s="25" t="s">
        <v>14</v>
      </c>
      <c r="B384" s="25" t="s">
        <v>116</v>
      </c>
      <c r="C384" s="23">
        <v>12.5</v>
      </c>
      <c r="D384" s="23">
        <v>6500</v>
      </c>
      <c r="E384" s="24">
        <v>81250</v>
      </c>
      <c r="F384" s="25" t="s">
        <v>197</v>
      </c>
    </row>
    <row r="385" spans="1:6" ht="15" customHeight="1" x14ac:dyDescent="0.3">
      <c r="A385" s="28" t="s">
        <v>14</v>
      </c>
      <c r="B385" s="28" t="s">
        <v>116</v>
      </c>
      <c r="C385" s="26">
        <v>35.5</v>
      </c>
      <c r="D385" s="26">
        <v>6500</v>
      </c>
      <c r="E385" s="27">
        <v>230750</v>
      </c>
      <c r="F385" s="28" t="s">
        <v>197</v>
      </c>
    </row>
    <row r="386" spans="1:6" ht="15" customHeight="1" x14ac:dyDescent="0.3">
      <c r="A386" s="25" t="s">
        <v>44</v>
      </c>
      <c r="B386" s="25" t="s">
        <v>15</v>
      </c>
      <c r="C386" s="23">
        <v>9</v>
      </c>
      <c r="D386" s="23">
        <v>8000</v>
      </c>
      <c r="E386" s="24">
        <v>72000</v>
      </c>
      <c r="F386" s="25" t="s">
        <v>197</v>
      </c>
    </row>
    <row r="387" spans="1:6" ht="15" customHeight="1" x14ac:dyDescent="0.3">
      <c r="A387" s="28" t="s">
        <v>44</v>
      </c>
      <c r="B387" s="28" t="s">
        <v>15</v>
      </c>
      <c r="C387" s="26">
        <v>58</v>
      </c>
      <c r="D387" s="26">
        <v>9500</v>
      </c>
      <c r="E387" s="27">
        <v>551000</v>
      </c>
      <c r="F387" s="28" t="s">
        <v>197</v>
      </c>
    </row>
    <row r="388" spans="1:6" ht="15" customHeight="1" x14ac:dyDescent="0.3">
      <c r="A388" s="25" t="s">
        <v>44</v>
      </c>
      <c r="B388" s="25" t="s">
        <v>15</v>
      </c>
      <c r="C388" s="23">
        <v>210</v>
      </c>
      <c r="D388" s="23">
        <v>7500</v>
      </c>
      <c r="E388" s="24">
        <v>1575000</v>
      </c>
      <c r="F388" s="25" t="s">
        <v>197</v>
      </c>
    </row>
    <row r="389" spans="1:6" ht="15" customHeight="1" x14ac:dyDescent="0.3">
      <c r="A389" s="28" t="s">
        <v>44</v>
      </c>
      <c r="B389" s="28" t="s">
        <v>140</v>
      </c>
      <c r="C389" s="26">
        <v>38</v>
      </c>
      <c r="D389" s="26">
        <v>9000</v>
      </c>
      <c r="E389" s="27">
        <v>342000</v>
      </c>
      <c r="F389" s="28" t="s">
        <v>197</v>
      </c>
    </row>
    <row r="390" spans="1:6" ht="15" customHeight="1" x14ac:dyDescent="0.3">
      <c r="A390" s="25" t="s">
        <v>46</v>
      </c>
      <c r="B390" s="25" t="s">
        <v>169</v>
      </c>
      <c r="C390" s="23">
        <v>1</v>
      </c>
      <c r="D390" s="23">
        <v>6000</v>
      </c>
      <c r="E390" s="24">
        <v>6000</v>
      </c>
      <c r="F390" s="25" t="s">
        <v>197</v>
      </c>
    </row>
    <row r="391" spans="1:6" ht="15" customHeight="1" x14ac:dyDescent="0.3">
      <c r="A391" s="29"/>
      <c r="B391" s="29"/>
      <c r="C391" s="33">
        <f>SUM(C2:C390)</f>
        <v>91203</v>
      </c>
      <c r="D391" s="29"/>
      <c r="E391" s="30" t="s">
        <v>190</v>
      </c>
      <c r="F391" s="3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3E83D-8FBA-4594-91BE-88D29418C6D0}">
  <sheetPr codeName="Sheet3"/>
  <dimension ref="A1:I81"/>
  <sheetViews>
    <sheetView zoomScale="70" zoomScaleNormal="70" workbookViewId="0">
      <selection activeCell="D13" sqref="D13"/>
    </sheetView>
  </sheetViews>
  <sheetFormatPr defaultRowHeight="14.4" x14ac:dyDescent="0.3"/>
  <cols>
    <col min="1" max="1" width="67" bestFit="1" customWidth="1"/>
    <col min="3" max="3" width="63.109375" bestFit="1" customWidth="1"/>
    <col min="4" max="4" width="28" customWidth="1"/>
    <col min="6" max="6" width="70.88671875" customWidth="1"/>
    <col min="8" max="8" width="10.6640625" customWidth="1"/>
    <col min="9" max="9" width="9" customWidth="1"/>
  </cols>
  <sheetData>
    <row r="1" spans="1:9" x14ac:dyDescent="0.3">
      <c r="A1" t="str" cm="1">
        <f t="array" ref="A1:A24">_xlfn.UNIQUE(raw!A:A)</f>
        <v>Item Code</v>
      </c>
    </row>
    <row r="2" spans="1:9" ht="19.8" x14ac:dyDescent="0.7">
      <c r="A2" t="str">
        <v>ငါးစုံ / ငါးကြင်း / ငါးကြွက် / ဇစ်ပို / ငါးဖောင်ရိုး/ငါးရံ့/ငါးရွက်တိုက်/ဆာတီး/ဂျပန်လုံး</v>
      </c>
      <c r="C2" s="4" t="s">
        <v>26</v>
      </c>
      <c r="D2" t="str" cm="1">
        <f t="array" ref="D2:D9">_xlfn.UNIQUE(raw!F:F)</f>
        <v>DocDescription</v>
      </c>
      <c r="H2" s="34"/>
      <c r="I2" s="34"/>
    </row>
    <row r="3" spans="1:9" ht="19.8" x14ac:dyDescent="0.7">
      <c r="A3" t="str">
        <v>ငါးမဲလုံး</v>
      </c>
      <c r="C3" s="4" t="s">
        <v>23</v>
      </c>
      <c r="D3" t="str">
        <v>စိုးစံအောင်-7</v>
      </c>
      <c r="F3" s="18" cm="1">
        <f t="array" ref="F3:F8">_xlfn._xlws.FILTER(A2:A29,COUNTIF(C2:C81,A2:A29)=0)</f>
        <v>0</v>
      </c>
    </row>
    <row r="4" spans="1:9" ht="19.8" x14ac:dyDescent="0.7">
      <c r="A4" t="str">
        <v>ငါးလက်ဝါး</v>
      </c>
      <c r="C4" s="4" t="s">
        <v>27</v>
      </c>
      <c r="D4" t="str">
        <v>စိုးစံအောင်-ရိုးရိုး</v>
      </c>
      <c r="F4">
        <v>0</v>
      </c>
      <c r="H4" s="35" t="s">
        <v>104</v>
      </c>
      <c r="I4" s="34"/>
    </row>
    <row r="5" spans="1:9" ht="19.8" x14ac:dyDescent="0.7">
      <c r="A5" t="str">
        <v>အိုးတန်း</v>
      </c>
      <c r="C5" s="4" t="s">
        <v>28</v>
      </c>
      <c r="D5" t="str">
        <v>စိုးပြည့်အောင်-7</v>
      </c>
      <c r="F5" s="18">
        <v>0</v>
      </c>
      <c r="H5" cm="1">
        <f t="array" ref="H5">IFERROR(LOOKUP(2,1/(B$2:B169=B191),C$2:C169),"")</f>
        <v>0</v>
      </c>
      <c r="I5" cm="1">
        <f t="array" ref="I5">IFERROR(LOOKUP(2,1/(B$2:B169=B191),D$2:D169),"")</f>
        <v>0</v>
      </c>
    </row>
    <row r="6" spans="1:9" ht="19.8" x14ac:dyDescent="0.7">
      <c r="A6" t="str">
        <v>ကင်းမွန်</v>
      </c>
      <c r="C6" s="4" t="s">
        <v>29</v>
      </c>
      <c r="D6" t="str">
        <v>ရွှေနတ်သား</v>
      </c>
      <c r="F6" s="18">
        <v>0</v>
      </c>
    </row>
    <row r="7" spans="1:9" ht="19.8" x14ac:dyDescent="0.7">
      <c r="A7" t="str">
        <v>ကုလားငူ</v>
      </c>
      <c r="C7" s="4" t="s">
        <v>30</v>
      </c>
      <c r="D7" t="str">
        <v>ရွှေရည်-88</v>
      </c>
      <c r="F7">
        <v>0</v>
      </c>
    </row>
    <row r="8" spans="1:9" ht="19.8" x14ac:dyDescent="0.7">
      <c r="A8" t="str">
        <v>ငါးဂုံးကြား</v>
      </c>
      <c r="C8" s="4" t="s">
        <v>31</v>
      </c>
      <c r="D8" t="str">
        <v>အေးပြည့်အောင်-999</v>
      </c>
      <c r="F8">
        <v>0</v>
      </c>
    </row>
    <row r="9" spans="1:9" ht="19.8" x14ac:dyDescent="0.7">
      <c r="A9" t="str">
        <v>ငှက်ပျောသီး</v>
      </c>
      <c r="C9" s="4" t="s">
        <v>32</v>
      </c>
      <c r="D9">
        <v>0</v>
      </c>
    </row>
    <row r="10" spans="1:9" ht="19.8" x14ac:dyDescent="0.7">
      <c r="A10" t="str">
        <v>ငါးပုလွေ</v>
      </c>
      <c r="C10" s="4" t="s">
        <v>33</v>
      </c>
    </row>
    <row r="11" spans="1:9" ht="19.8" x14ac:dyDescent="0.7">
      <c r="A11" t="str">
        <v>ငါးမုတ်မဲ</v>
      </c>
      <c r="C11" s="4" t="s">
        <v>34</v>
      </c>
    </row>
    <row r="12" spans="1:9" ht="19.8" x14ac:dyDescent="0.7">
      <c r="A12" t="str">
        <v>ငါးတံခွန်</v>
      </c>
      <c r="C12" s="4" t="s">
        <v>35</v>
      </c>
    </row>
    <row r="13" spans="1:9" ht="19.8" x14ac:dyDescent="0.7">
      <c r="A13" t="str">
        <v>ဒါးမထိုး</v>
      </c>
      <c r="C13" s="4" t="s">
        <v>36</v>
      </c>
    </row>
    <row r="14" spans="1:9" ht="19.8" x14ac:dyDescent="0.7">
      <c r="A14" t="str">
        <v>ငါးဒါးလွယ်</v>
      </c>
      <c r="C14" s="4" t="s">
        <v>37</v>
      </c>
    </row>
    <row r="15" spans="1:9" ht="19.8" x14ac:dyDescent="0.7">
      <c r="A15" t="str">
        <v>ဒိုး</v>
      </c>
      <c r="C15" s="4" t="s">
        <v>38</v>
      </c>
    </row>
    <row r="16" spans="1:9" ht="19.8" x14ac:dyDescent="0.7">
      <c r="A16" t="str">
        <v>ငါးဒါးပြီး / ငါးဓါးမ</v>
      </c>
      <c r="C16" s="4" t="s">
        <v>39</v>
      </c>
    </row>
    <row r="17" spans="1:6" ht="19.8" x14ac:dyDescent="0.7">
      <c r="A17" t="str">
        <v>ငါးချဉ်ပေါင် / ပြည်သာ</v>
      </c>
      <c r="C17" s="19" t="s">
        <v>18</v>
      </c>
      <c r="E17" s="20"/>
      <c r="F17" s="20"/>
    </row>
    <row r="18" spans="1:6" ht="19.8" x14ac:dyDescent="0.7">
      <c r="A18" t="str">
        <v>ပလာတူး</v>
      </c>
      <c r="C18" s="19" t="s">
        <v>40</v>
      </c>
      <c r="E18" s="20"/>
      <c r="F18" s="20"/>
    </row>
    <row r="19" spans="1:6" ht="19.8" x14ac:dyDescent="0.7">
      <c r="A19" t="str">
        <v>ငါးကွင်းရှပ်/ဘီးဇင်း</v>
      </c>
      <c r="C19" s="19" t="s">
        <v>41</v>
      </c>
      <c r="E19" s="20"/>
      <c r="F19" s="20"/>
    </row>
    <row r="20" spans="1:6" ht="19.8" x14ac:dyDescent="0.7">
      <c r="A20" t="str">
        <v>မျက်ကျယ်</v>
      </c>
      <c r="C20" s="19" t="s">
        <v>42</v>
      </c>
      <c r="E20" s="20"/>
      <c r="F20" s="21"/>
    </row>
    <row r="21" spans="1:6" ht="19.8" x14ac:dyDescent="0.7">
      <c r="A21" t="str">
        <v>ကြိုးဝါ/မြီးနီ/မြီးလုံး/မြီးဝါ</v>
      </c>
      <c r="C21" s="19" t="s">
        <v>43</v>
      </c>
      <c r="E21" s="20"/>
      <c r="F21" s="21"/>
    </row>
    <row r="22" spans="1:6" ht="19.8" x14ac:dyDescent="0.7">
      <c r="A22" t="str">
        <v>သင်ဝါ/ဝိုင်းစိမ်း</v>
      </c>
      <c r="C22" s="19" t="s">
        <v>44</v>
      </c>
      <c r="D22" s="20"/>
      <c r="E22" s="20"/>
      <c r="F22" s="21"/>
    </row>
    <row r="23" spans="1:6" ht="19.8" x14ac:dyDescent="0.7">
      <c r="A23" t="str">
        <v>ငါးခေါင်းပွ</v>
      </c>
      <c r="C23" s="19" t="s">
        <v>45</v>
      </c>
      <c r="D23" s="20"/>
      <c r="E23" s="20"/>
      <c r="F23" s="20"/>
    </row>
    <row r="24" spans="1:6" ht="19.8" x14ac:dyDescent="0.7">
      <c r="A24">
        <v>0</v>
      </c>
      <c r="C24" s="19" t="s">
        <v>16</v>
      </c>
      <c r="D24" s="20"/>
      <c r="E24" s="20"/>
      <c r="F24" s="21"/>
    </row>
    <row r="25" spans="1:6" ht="19.8" x14ac:dyDescent="0.7">
      <c r="C25" s="19" t="s">
        <v>46</v>
      </c>
      <c r="D25" s="20"/>
      <c r="E25" s="20"/>
      <c r="F25" s="20"/>
    </row>
    <row r="26" spans="1:6" ht="19.8" x14ac:dyDescent="0.7">
      <c r="C26" s="19" t="s">
        <v>47</v>
      </c>
      <c r="D26" s="20"/>
      <c r="E26" s="20"/>
      <c r="F26" s="21"/>
    </row>
    <row r="27" spans="1:6" ht="19.8" x14ac:dyDescent="0.7">
      <c r="C27" s="19" t="s">
        <v>48</v>
      </c>
      <c r="D27" s="20"/>
      <c r="E27" s="20"/>
      <c r="F27" s="20"/>
    </row>
    <row r="28" spans="1:6" ht="19.8" x14ac:dyDescent="0.7">
      <c r="C28" s="19" t="s">
        <v>49</v>
      </c>
      <c r="D28" s="20"/>
      <c r="E28" s="20"/>
      <c r="F28" s="21"/>
    </row>
    <row r="29" spans="1:6" ht="19.8" x14ac:dyDescent="0.7">
      <c r="C29" s="19" t="s">
        <v>50</v>
      </c>
      <c r="D29" s="20"/>
      <c r="E29" s="20"/>
      <c r="F29" s="21"/>
    </row>
    <row r="30" spans="1:6" ht="19.8" x14ac:dyDescent="0.7">
      <c r="C30" s="19" t="s">
        <v>51</v>
      </c>
      <c r="D30" s="20"/>
      <c r="E30" s="20"/>
      <c r="F30" s="21"/>
    </row>
    <row r="31" spans="1:6" ht="19.8" x14ac:dyDescent="0.7">
      <c r="C31" s="19" t="s">
        <v>52</v>
      </c>
      <c r="D31" s="20"/>
      <c r="E31" s="20"/>
      <c r="F31" s="20"/>
    </row>
    <row r="32" spans="1:6" ht="19.8" x14ac:dyDescent="0.7">
      <c r="C32" s="19" t="s">
        <v>53</v>
      </c>
      <c r="D32" s="20"/>
      <c r="E32" s="20"/>
      <c r="F32" s="20"/>
    </row>
    <row r="33" spans="3:6" ht="19.8" x14ac:dyDescent="0.7">
      <c r="C33" s="19" t="s">
        <v>54</v>
      </c>
      <c r="D33" s="20"/>
      <c r="E33" s="20"/>
      <c r="F33" s="20"/>
    </row>
    <row r="34" spans="3:6" ht="19.8" x14ac:dyDescent="0.7">
      <c r="C34" s="19" t="s">
        <v>55</v>
      </c>
      <c r="D34" s="20"/>
      <c r="E34" s="20"/>
      <c r="F34" s="20"/>
    </row>
    <row r="35" spans="3:6" ht="19.8" x14ac:dyDescent="0.7">
      <c r="C35" s="4" t="s">
        <v>3</v>
      </c>
    </row>
    <row r="36" spans="3:6" ht="19.8" x14ac:dyDescent="0.7">
      <c r="C36" s="4" t="s">
        <v>56</v>
      </c>
    </row>
    <row r="37" spans="3:6" ht="19.8" x14ac:dyDescent="0.7">
      <c r="C37" s="4" t="s">
        <v>57</v>
      </c>
    </row>
    <row r="38" spans="3:6" ht="19.8" x14ac:dyDescent="0.7">
      <c r="C38" s="4" t="s">
        <v>58</v>
      </c>
    </row>
    <row r="39" spans="3:6" ht="19.8" x14ac:dyDescent="0.7">
      <c r="C39" s="4" t="s">
        <v>59</v>
      </c>
    </row>
    <row r="40" spans="3:6" ht="19.8" x14ac:dyDescent="0.7">
      <c r="C40" s="4" t="s">
        <v>60</v>
      </c>
    </row>
    <row r="41" spans="3:6" ht="19.8" x14ac:dyDescent="0.7">
      <c r="C41" s="4" t="s">
        <v>61</v>
      </c>
    </row>
    <row r="42" spans="3:6" ht="19.8" x14ac:dyDescent="0.7">
      <c r="C42" s="4" t="s">
        <v>62</v>
      </c>
    </row>
    <row r="43" spans="3:6" ht="19.8" x14ac:dyDescent="0.7">
      <c r="C43" s="4" t="s">
        <v>63</v>
      </c>
    </row>
    <row r="44" spans="3:6" ht="19.8" x14ac:dyDescent="0.7">
      <c r="C44" s="4" t="s">
        <v>64</v>
      </c>
    </row>
    <row r="45" spans="3:6" ht="19.8" x14ac:dyDescent="0.7">
      <c r="C45" s="4" t="s">
        <v>14</v>
      </c>
    </row>
    <row r="46" spans="3:6" ht="19.8" x14ac:dyDescent="0.7">
      <c r="C46" s="4" t="s">
        <v>65</v>
      </c>
    </row>
    <row r="47" spans="3:6" ht="19.8" x14ac:dyDescent="0.7">
      <c r="C47" s="4" t="s">
        <v>66</v>
      </c>
    </row>
    <row r="48" spans="3:6" ht="19.8" x14ac:dyDescent="0.7">
      <c r="C48" s="4" t="s">
        <v>67</v>
      </c>
    </row>
    <row r="49" spans="3:3" ht="19.8" x14ac:dyDescent="0.7">
      <c r="C49" s="4" t="s">
        <v>68</v>
      </c>
    </row>
    <row r="50" spans="3:3" ht="19.8" x14ac:dyDescent="0.7">
      <c r="C50" s="4" t="s">
        <v>69</v>
      </c>
    </row>
    <row r="51" spans="3:3" ht="19.8" x14ac:dyDescent="0.7">
      <c r="C51" s="4" t="s">
        <v>11</v>
      </c>
    </row>
    <row r="52" spans="3:3" ht="19.8" x14ac:dyDescent="0.7">
      <c r="C52" s="4" t="s">
        <v>70</v>
      </c>
    </row>
    <row r="53" spans="3:3" ht="19.8" x14ac:dyDescent="0.7">
      <c r="C53" s="4" t="s">
        <v>71</v>
      </c>
    </row>
    <row r="54" spans="3:3" ht="19.8" x14ac:dyDescent="0.7">
      <c r="C54" s="4" t="s">
        <v>72</v>
      </c>
    </row>
    <row r="55" spans="3:3" ht="19.8" x14ac:dyDescent="0.7">
      <c r="C55" s="4" t="s">
        <v>25</v>
      </c>
    </row>
    <row r="56" spans="3:3" ht="19.8" x14ac:dyDescent="0.7">
      <c r="C56" s="4" t="s">
        <v>24</v>
      </c>
    </row>
    <row r="57" spans="3:3" ht="19.8" x14ac:dyDescent="0.7">
      <c r="C57" s="4" t="s">
        <v>7</v>
      </c>
    </row>
    <row r="58" spans="3:3" ht="19.8" x14ac:dyDescent="0.7">
      <c r="C58" s="4" t="s">
        <v>73</v>
      </c>
    </row>
    <row r="59" spans="3:3" ht="19.8" x14ac:dyDescent="0.7">
      <c r="C59" s="4" t="s">
        <v>74</v>
      </c>
    </row>
    <row r="60" spans="3:3" ht="19.8" x14ac:dyDescent="0.7">
      <c r="C60" s="4" t="s">
        <v>75</v>
      </c>
    </row>
    <row r="61" spans="3:3" ht="19.8" x14ac:dyDescent="0.7">
      <c r="C61" s="4" t="s">
        <v>76</v>
      </c>
    </row>
    <row r="62" spans="3:3" ht="19.8" x14ac:dyDescent="0.7">
      <c r="C62" s="4" t="s">
        <v>77</v>
      </c>
    </row>
    <row r="63" spans="3:3" ht="19.8" x14ac:dyDescent="0.7">
      <c r="C63" s="4" t="s">
        <v>78</v>
      </c>
    </row>
    <row r="64" spans="3:3" ht="19.8" x14ac:dyDescent="0.7">
      <c r="C64" s="4" t="s">
        <v>79</v>
      </c>
    </row>
    <row r="65" spans="3:3" ht="19.8" x14ac:dyDescent="0.7">
      <c r="C65" s="4" t="s">
        <v>80</v>
      </c>
    </row>
    <row r="66" spans="3:3" ht="19.8" x14ac:dyDescent="0.7">
      <c r="C66" s="4" t="s">
        <v>81</v>
      </c>
    </row>
    <row r="67" spans="3:3" ht="19.8" x14ac:dyDescent="0.7">
      <c r="C67" s="4" t="s">
        <v>82</v>
      </c>
    </row>
    <row r="68" spans="3:3" ht="19.8" x14ac:dyDescent="0.7">
      <c r="C68" s="4" t="s">
        <v>83</v>
      </c>
    </row>
    <row r="69" spans="3:3" ht="19.8" x14ac:dyDescent="0.7">
      <c r="C69" s="4" t="s">
        <v>84</v>
      </c>
    </row>
    <row r="70" spans="3:3" ht="19.8" x14ac:dyDescent="0.7">
      <c r="C70" s="4" t="s">
        <v>85</v>
      </c>
    </row>
    <row r="71" spans="3:3" ht="19.8" x14ac:dyDescent="0.7">
      <c r="C71" s="4" t="s">
        <v>86</v>
      </c>
    </row>
    <row r="72" spans="3:3" ht="19.8" x14ac:dyDescent="0.7">
      <c r="C72" s="4" t="s">
        <v>87</v>
      </c>
    </row>
    <row r="73" spans="3:3" ht="19.8" x14ac:dyDescent="0.7">
      <c r="C73" s="4" t="s">
        <v>88</v>
      </c>
    </row>
    <row r="74" spans="3:3" ht="19.8" x14ac:dyDescent="0.7">
      <c r="C74" s="4" t="s">
        <v>89</v>
      </c>
    </row>
    <row r="75" spans="3:3" ht="19.8" x14ac:dyDescent="0.7">
      <c r="C75" s="4" t="s">
        <v>73</v>
      </c>
    </row>
    <row r="76" spans="3:3" ht="19.8" x14ac:dyDescent="0.7">
      <c r="C76" s="4" t="s">
        <v>90</v>
      </c>
    </row>
    <row r="77" spans="3:3" ht="19.8" x14ac:dyDescent="0.7">
      <c r="C77" s="9" t="s">
        <v>5</v>
      </c>
    </row>
    <row r="78" spans="3:3" ht="19.8" x14ac:dyDescent="0.7">
      <c r="C78" s="4" t="s">
        <v>9</v>
      </c>
    </row>
    <row r="79" spans="3:3" ht="19.8" x14ac:dyDescent="0.7">
      <c r="C79" s="4" t="s">
        <v>21</v>
      </c>
    </row>
    <row r="80" spans="3:3" ht="19.8" x14ac:dyDescent="0.7">
      <c r="C80" s="4" t="s">
        <v>4</v>
      </c>
    </row>
    <row r="81" spans="3:3" ht="19.8" x14ac:dyDescent="0.7">
      <c r="C81" s="4" t="s">
        <v>17</v>
      </c>
    </row>
  </sheetData>
  <sortState xmlns:xlrd2="http://schemas.microsoft.com/office/spreadsheetml/2017/richdata2" ref="J3:J9">
    <sortCondition ref="J3:J9"/>
  </sortState>
  <mergeCells count="2">
    <mergeCell ref="H2:I2"/>
    <mergeCell ref="H4:I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F41A1-8A33-4235-A29E-9E3F4AA27D4E}">
  <sheetPr codeName="Sheet4"/>
  <dimension ref="A1:B27"/>
  <sheetViews>
    <sheetView topLeftCell="A7" workbookViewId="0">
      <selection activeCell="A28" sqref="A28"/>
    </sheetView>
  </sheetViews>
  <sheetFormatPr defaultRowHeight="14.4" x14ac:dyDescent="0.3"/>
  <cols>
    <col min="1" max="1" width="31.77734375" customWidth="1"/>
    <col min="2" max="2" width="76.33203125" customWidth="1"/>
  </cols>
  <sheetData>
    <row r="1" spans="1:2" ht="12" customHeight="1" x14ac:dyDescent="0.3"/>
    <row r="2" spans="1:2" x14ac:dyDescent="0.3">
      <c r="A2" t="s">
        <v>92</v>
      </c>
      <c r="B2" t="s">
        <v>39</v>
      </c>
    </row>
    <row r="3" spans="1:2" x14ac:dyDescent="0.3">
      <c r="A3" t="s">
        <v>10</v>
      </c>
      <c r="B3" t="s">
        <v>54</v>
      </c>
    </row>
    <row r="4" spans="1:2" x14ac:dyDescent="0.3">
      <c r="A4" t="s">
        <v>22</v>
      </c>
      <c r="B4" t="s">
        <v>61</v>
      </c>
    </row>
    <row r="5" spans="1:2" x14ac:dyDescent="0.3">
      <c r="A5" t="s">
        <v>93</v>
      </c>
      <c r="B5" t="s">
        <v>65</v>
      </c>
    </row>
    <row r="6" spans="1:2" x14ac:dyDescent="0.3">
      <c r="A6" t="s">
        <v>12</v>
      </c>
      <c r="B6" t="s">
        <v>5</v>
      </c>
    </row>
    <row r="7" spans="1:2" x14ac:dyDescent="0.3">
      <c r="A7" t="s">
        <v>13</v>
      </c>
      <c r="B7" t="s">
        <v>31</v>
      </c>
    </row>
    <row r="8" spans="1:2" x14ac:dyDescent="0.3">
      <c r="A8" t="s">
        <v>15</v>
      </c>
      <c r="B8" t="s">
        <v>44</v>
      </c>
    </row>
    <row r="9" spans="1:2" x14ac:dyDescent="0.3">
      <c r="A9" t="s">
        <v>94</v>
      </c>
      <c r="B9" t="s">
        <v>7</v>
      </c>
    </row>
    <row r="10" spans="1:2" x14ac:dyDescent="0.3">
      <c r="A10" t="s">
        <v>95</v>
      </c>
      <c r="B10" t="s">
        <v>62</v>
      </c>
    </row>
    <row r="11" spans="1:2" x14ac:dyDescent="0.3">
      <c r="A11" t="s">
        <v>96</v>
      </c>
      <c r="B11" t="s">
        <v>63</v>
      </c>
    </row>
    <row r="12" spans="1:2" x14ac:dyDescent="0.3">
      <c r="A12" t="s">
        <v>6</v>
      </c>
      <c r="B12" t="s">
        <v>90</v>
      </c>
    </row>
    <row r="13" spans="1:2" x14ac:dyDescent="0.3">
      <c r="A13" t="s">
        <v>100</v>
      </c>
      <c r="B13" t="s">
        <v>90</v>
      </c>
    </row>
    <row r="14" spans="1:2" x14ac:dyDescent="0.3">
      <c r="A14" t="s">
        <v>101</v>
      </c>
      <c r="B14" t="s">
        <v>90</v>
      </c>
    </row>
    <row r="15" spans="1:2" x14ac:dyDescent="0.3">
      <c r="A15" t="s">
        <v>102</v>
      </c>
      <c r="B15" t="s">
        <v>90</v>
      </c>
    </row>
    <row r="16" spans="1:2" x14ac:dyDescent="0.3">
      <c r="A16" t="s">
        <v>8</v>
      </c>
      <c r="B16" t="s">
        <v>90</v>
      </c>
    </row>
    <row r="17" spans="1:2" x14ac:dyDescent="0.3">
      <c r="A17" t="s">
        <v>19</v>
      </c>
      <c r="B17" t="s">
        <v>90</v>
      </c>
    </row>
    <row r="18" spans="1:2" x14ac:dyDescent="0.3">
      <c r="A18" t="s">
        <v>97</v>
      </c>
      <c r="B18" t="s">
        <v>90</v>
      </c>
    </row>
    <row r="19" spans="1:2" x14ac:dyDescent="0.3">
      <c r="A19" t="s">
        <v>20</v>
      </c>
      <c r="B19" t="s">
        <v>90</v>
      </c>
    </row>
    <row r="20" spans="1:2" x14ac:dyDescent="0.3">
      <c r="A20" t="s">
        <v>99</v>
      </c>
      <c r="B20" t="s">
        <v>90</v>
      </c>
    </row>
    <row r="21" spans="1:2" x14ac:dyDescent="0.3">
      <c r="A21" t="s">
        <v>103</v>
      </c>
      <c r="B21" t="s">
        <v>46</v>
      </c>
    </row>
    <row r="22" spans="1:2" x14ac:dyDescent="0.3">
      <c r="A22" t="s">
        <v>91</v>
      </c>
      <c r="B22" t="s">
        <v>53</v>
      </c>
    </row>
    <row r="23" spans="1:2" x14ac:dyDescent="0.3">
      <c r="A23" t="s">
        <v>105</v>
      </c>
      <c r="B23" t="s">
        <v>44</v>
      </c>
    </row>
    <row r="24" spans="1:2" x14ac:dyDescent="0.3">
      <c r="A24" t="s">
        <v>106</v>
      </c>
      <c r="B24" t="s">
        <v>44</v>
      </c>
    </row>
    <row r="25" spans="1:2" x14ac:dyDescent="0.3">
      <c r="A25" t="s">
        <v>107</v>
      </c>
      <c r="B25" t="s">
        <v>44</v>
      </c>
    </row>
    <row r="26" spans="1:2" ht="19.8" x14ac:dyDescent="0.7">
      <c r="A26" t="s">
        <v>111</v>
      </c>
      <c r="B26" s="4" t="s">
        <v>90</v>
      </c>
    </row>
    <row r="27" spans="1:2" ht="19.8" x14ac:dyDescent="0.7">
      <c r="A27" t="s">
        <v>113</v>
      </c>
      <c r="B27" s="4" t="s">
        <v>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rawMain</vt:lpstr>
      <vt:lpstr>raw</vt:lpstr>
      <vt:lpstr>temp</vt:lpstr>
      <vt:lpstr>replace_map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spsn18</dc:creator>
  <cp:lastModifiedBy>Admin</cp:lastModifiedBy>
  <dcterms:created xsi:type="dcterms:W3CDTF">2026-03-16T04:43:08Z</dcterms:created>
  <dcterms:modified xsi:type="dcterms:W3CDTF">2026-10-11T07:54:33Z</dcterms:modified>
</cp:coreProperties>
</file>