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filterPrivacy="1" codeName="ThisWorkbook" defaultThemeVersion="124226"/>
  <xr:revisionPtr revIDLastSave="0" documentId="13_ncr:1_{0A0B611F-525E-4357-8DA2-E2C85C2525EF}" xr6:coauthVersionLast="47" xr6:coauthVersionMax="47" xr10:uidLastSave="{00000000-0000-0000-0000-000000000000}"/>
  <bookViews>
    <workbookView xWindow="-108" yWindow="-108" windowWidth="23256" windowHeight="12456" tabRatio="664" activeTab="1" xr2:uid="{00000000-000D-0000-FFFF-FFFF00000000}"/>
  </bookViews>
  <sheets>
    <sheet name="Catch" sheetId="20" r:id="rId1"/>
    <sheet name="Jetty" sheetId="19" r:id="rId2"/>
    <sheet name="Att-3" sheetId="21" r:id="rId3"/>
    <sheet name="ကမ်းဝေး(ဝိုင်းချုပ်)" sheetId="22" r:id="rId4"/>
  </sheets>
  <definedNames>
    <definedName name="_xlnm.Print_Titles" localSheetId="0">Catch!$3:$4</definedName>
    <definedName name="_xlnm.Print_Titles" localSheetId="1">Jetty!$2:$4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2" i="22" l="1"/>
  <c r="CG13" i="22"/>
  <c r="CG14" i="22"/>
  <c r="CG15" i="22"/>
  <c r="CG16" i="22"/>
  <c r="CG17" i="22"/>
  <c r="G19" i="21"/>
  <c r="CG6" i="22" l="1"/>
  <c r="CG7" i="22"/>
  <c r="CG8" i="22"/>
  <c r="CG9" i="22"/>
  <c r="CG10" i="22"/>
  <c r="CG11" i="22"/>
  <c r="CG5" i="22"/>
  <c r="AC19" i="21" l="1"/>
  <c r="AD19" i="21"/>
  <c r="AE19" i="21"/>
  <c r="E20" i="19" l="1"/>
  <c r="W19" i="21" l="1"/>
  <c r="N19" i="21" l="1"/>
  <c r="F20" i="19" l="1"/>
  <c r="G20" i="19"/>
  <c r="H20" i="19"/>
  <c r="H19" i="21"/>
  <c r="I19" i="21"/>
  <c r="J19" i="21"/>
  <c r="K19" i="21"/>
  <c r="L19" i="21"/>
  <c r="O19" i="21"/>
  <c r="P19" i="21"/>
  <c r="Q19" i="21"/>
  <c r="R19" i="21"/>
  <c r="S19" i="21"/>
  <c r="T19" i="21"/>
  <c r="U19" i="21"/>
  <c r="V19" i="21"/>
  <c r="X19" i="21"/>
  <c r="Y19" i="21"/>
  <c r="Z19" i="21"/>
  <c r="AA19" i="21"/>
  <c r="AB19" i="21"/>
</calcChain>
</file>

<file path=xl/sharedStrings.xml><?xml version="1.0" encoding="utf-8"?>
<sst xmlns="http://schemas.openxmlformats.org/spreadsheetml/2006/main" count="238" uniqueCount="155">
  <si>
    <t>စဉ်</t>
  </si>
  <si>
    <t>ရေယာဉ်အမည်</t>
  </si>
  <si>
    <t>လိုင်စင်
အမှတ်</t>
  </si>
  <si>
    <t>Jetty သို့
ရောင်းချ</t>
  </si>
  <si>
    <t>စုစုပေါင်း
ရောင်းချ</t>
  </si>
  <si>
    <t>Jetty အမည်</t>
  </si>
  <si>
    <t>တန်ချိန်</t>
  </si>
  <si>
    <t>ပြည်တွင်းသို့
တိုက်ရိုက် ရောင်းချ</t>
  </si>
  <si>
    <t>ငါးဖမ်းလှေများမှ ရောင်းချမှု</t>
  </si>
  <si>
    <t xml:space="preserve"> ငါးဖမ်းလှေများမှ နေ့စဉ်သတင်းပို့ပုံစံ</t>
  </si>
  <si>
    <t>Jetty အလိုက် နေ့စဉ်သတင်းပို့ပုံစံ</t>
  </si>
  <si>
    <t>ပြည်တွင်း
ရောင်းချ တန်ချိန်</t>
  </si>
  <si>
    <t>အအေးခန်း
ရောင်းချ တန်ချိန်</t>
  </si>
  <si>
    <t>စုစုပေါင်း
ရောင်းချ တန်ချိန်</t>
  </si>
  <si>
    <t>ငါးဖမ်းလှေ မှ ပြည်ပ
တိုက်ရိုက် ရောင်းချ</t>
  </si>
  <si>
    <t>ပိုင်ရှင်အမည်</t>
  </si>
  <si>
    <t>ငါးဖမ်း ကာလ</t>
  </si>
  <si>
    <t>ငါးရရှိမှု(တန်ချိန်)</t>
  </si>
  <si>
    <t>လိုင်စင် အမှတ်</t>
  </si>
  <si>
    <t>လုပ်ငန်း အမျိုး အစား</t>
  </si>
  <si>
    <t>ဖမ်းယူ နှင့်
ရောင်းချမှု
ခြားနားချက် (+/-)</t>
  </si>
  <si>
    <t>ငါးဖမ်းရေယာဉ် အမည်</t>
  </si>
  <si>
    <t>ဖမ်းယူ
ရရှိ ကုန်တက်
စုစုပေါင်း</t>
  </si>
  <si>
    <t>ကုန်တက် အဝင်/ အထွက်
ခြားနားချက်</t>
  </si>
  <si>
    <t>ကုန်တက်အဝင်စာရင်း</t>
  </si>
  <si>
    <t>လှေအမည်</t>
  </si>
  <si>
    <t>ငါးမုတ်ဖြူ</t>
  </si>
  <si>
    <t>ငါးသလောက်</t>
  </si>
  <si>
    <t>ပုစွန်ဖြူ</t>
  </si>
  <si>
    <t>ဂဏန်း</t>
  </si>
  <si>
    <t>မျှင်ပုစွန်</t>
  </si>
  <si>
    <t>သဲဂဏန်း</t>
  </si>
  <si>
    <t>ငါးကွင်းရှပ်</t>
  </si>
  <si>
    <t>ပြည်ကြီးငါး</t>
  </si>
  <si>
    <t>ပန်းရောင်ပုစွန် (ရွှေရောင်)</t>
  </si>
  <si>
    <t>ပန်းရောင်ပုစွန် (သဲပွင့်)</t>
  </si>
  <si>
    <t xml:space="preserve">ပန်းရောင်ပုစွန် </t>
  </si>
  <si>
    <t>ပန်းရောင်ပုစွန် (အခွံပျော့)</t>
  </si>
  <si>
    <t>ပန်းရောင်ပုစွန် (အခွံကြမ်း)</t>
  </si>
  <si>
    <t>ပန်းရောင်ပုစွန် (အဝါ)</t>
  </si>
  <si>
    <t>ငါးတံခွန်</t>
  </si>
  <si>
    <t>ငါးမှုတ်မဲ</t>
  </si>
  <si>
    <t>ငါးလိပ်ကျောက်</t>
  </si>
  <si>
    <t>ရေဘဝဲ</t>
  </si>
  <si>
    <t>ကက္ကူရံ</t>
  </si>
  <si>
    <t>ငါးပါးနီ</t>
  </si>
  <si>
    <t>လိုင်းဝါ</t>
  </si>
  <si>
    <t>ကင်းမွန်</t>
  </si>
  <si>
    <t>ငါးပုတ်သင်</t>
  </si>
  <si>
    <t>ငါးရွှေ</t>
  </si>
  <si>
    <t>ငါးပြား</t>
  </si>
  <si>
    <t>ဇာကြမ်း</t>
  </si>
  <si>
    <t>နတ်ကတော်</t>
  </si>
  <si>
    <t>ငါးကျီးကန်း</t>
  </si>
  <si>
    <t>ငါးကုန်းကြား</t>
  </si>
  <si>
    <t>ငါးဒလွယ်</t>
  </si>
  <si>
    <t>ငါးကျံရွက်/ မြီးတန်သွယ်</t>
  </si>
  <si>
    <t>ငါးမဲလုံး</t>
  </si>
  <si>
    <t>ငါးရောင်</t>
  </si>
  <si>
    <t>ငါးရွေး</t>
  </si>
  <si>
    <t>ကုလားကုတ်</t>
  </si>
  <si>
    <t>ကုလားငူ</t>
  </si>
  <si>
    <t>ကျောက်ငါး</t>
  </si>
  <si>
    <t>ငါးဒါးပြီး / ငါးဓါးမ</t>
  </si>
  <si>
    <t>ငါးခေါင်းပွ</t>
  </si>
  <si>
    <t>ငါးပုလွေ</t>
  </si>
  <si>
    <t>ငါးခွေးလျာ</t>
  </si>
  <si>
    <t>မျက်ကြယ်</t>
  </si>
  <si>
    <t>ငါးချဉ်ပေါင် / ပြည်သာ</t>
  </si>
  <si>
    <t>ငါးနီငယ်</t>
  </si>
  <si>
    <t>ရွှေငါး</t>
  </si>
  <si>
    <t>ပလာတူးခက်</t>
  </si>
  <si>
    <t>ပလာလမ်း</t>
  </si>
  <si>
    <t>ပလာတူး</t>
  </si>
  <si>
    <t>ဘောင်းဂျေး</t>
  </si>
  <si>
    <t>ငါးနှပ်</t>
  </si>
  <si>
    <t>ဇာပျက်</t>
  </si>
  <si>
    <t>ငါးလက်ဝါး</t>
  </si>
  <si>
    <t>ငါးကုန်းညို</t>
  </si>
  <si>
    <t>ငါးဇင်းပြား</t>
  </si>
  <si>
    <t>ဂေါ်ထိုးငါး (ပါကင်)</t>
  </si>
  <si>
    <t>ချိုသင်</t>
  </si>
  <si>
    <t>စလုံး</t>
  </si>
  <si>
    <t>ကျောက်ပူတင်း</t>
  </si>
  <si>
    <t>အုန်းငါးမုတ်</t>
  </si>
  <si>
    <t>ကျောက်ပုစွန်</t>
  </si>
  <si>
    <t>ကင်းပုစွန်</t>
  </si>
  <si>
    <t>ကြိမ်မွေ့တောင်း</t>
  </si>
  <si>
    <t>ငါးပူတင်း</t>
  </si>
  <si>
    <t>လိပ်စွန်/ လိပ်ကျောက်</t>
  </si>
  <si>
    <t>ကျောက်ဘီးဇင်း</t>
  </si>
  <si>
    <t>ကပျက်</t>
  </si>
  <si>
    <t>ဂျိုးညှင်း/ ပသွပ်</t>
  </si>
  <si>
    <t>ငါးထောပတ်/ ငါးဆီလုံး</t>
  </si>
  <si>
    <t>ငတီး</t>
  </si>
  <si>
    <t>ငါးရွှေကျင်</t>
  </si>
  <si>
    <t>ဇယော</t>
  </si>
  <si>
    <t>ငါးစုံ</t>
  </si>
  <si>
    <t>ငှက်ပျောသီး</t>
  </si>
  <si>
    <t>ဒါးမထိုး</t>
  </si>
  <si>
    <t>ဒိုး ငါး</t>
  </si>
  <si>
    <t>အိုးတန်း</t>
  </si>
  <si>
    <t>ငါးဆင်ခေါင်းသေး</t>
  </si>
  <si>
    <t xml:space="preserve">စုစုပေါင်း </t>
  </si>
  <si>
    <t>စံပြရွှေငါးကုမ္ပဏီလီမိတက်</t>
  </si>
  <si>
    <t>နေ့စွဲ</t>
  </si>
  <si>
    <t>သင်ဝါ/ဝိုင်းစိမ်း</t>
  </si>
  <si>
    <t>ကြိုးဝါ/မြီးနီ/မြီးလုံး/မြီးဝါ</t>
  </si>
  <si>
    <t xml:space="preserve"> </t>
  </si>
  <si>
    <t xml:space="preserve">ရန်ကုန်တိုင်းဒေသကြီးအတွင်းရှိ  (ဝိုင်းချုပ်)  (    5   )စီးမှ ငါးရရှိမှုကုန်တက်                                                </t>
  </si>
  <si>
    <t>Jetty သို့ ဝင်ရောက်  ရောင်းချသည့် ရေယာဉ်အမည်</t>
  </si>
  <si>
    <t>-</t>
  </si>
  <si>
    <t>စံပြရွှေငါး Jetty</t>
  </si>
  <si>
    <t>ငါးဖမ်းရေယာဉ်များ၏ ကုန်တက်ရရှိမှု (2026ခုနှစ် ၊ ဧပြီလ)</t>
  </si>
  <si>
    <t>ခိုင်မြတ်ဝင်း</t>
  </si>
  <si>
    <t>ဦးသိန်းမြင့်</t>
  </si>
  <si>
    <t>Y-1829</t>
  </si>
  <si>
    <t>ဦးသောင်းစိန်</t>
  </si>
  <si>
    <t>Y-2354</t>
  </si>
  <si>
    <t>Y-2300</t>
  </si>
  <si>
    <t>ရက်စွဲ။ 7-10-2026</t>
  </si>
  <si>
    <t xml:space="preserve"> ရွှေနတ်သား</t>
  </si>
  <si>
    <t xml:space="preserve"> ရွှေရည်-88</t>
  </si>
  <si>
    <t xml:space="preserve"> အေးပြည့်အောင်-999</t>
  </si>
  <si>
    <t xml:space="preserve"> စိုးစံအောင်-ရိုးရိုး </t>
  </si>
  <si>
    <t xml:space="preserve"> စိုးစံအောင် - 7</t>
  </si>
  <si>
    <t xml:space="preserve"> စိုးစံအောင်-9 </t>
  </si>
  <si>
    <t xml:space="preserve"> စိုးပြည့်အောင် - 7 </t>
  </si>
  <si>
    <t>၇.၁၀.၂၀၂၆</t>
  </si>
  <si>
    <t>7.9.2026</t>
  </si>
  <si>
    <t xml:space="preserve"> ရွှေနတ်သား/ခိုင်မြတ်ဝင်း</t>
  </si>
  <si>
    <t xml:space="preserve"> ရွှေရည်-88/ခိုင်မြတ်ဝင်း</t>
  </si>
  <si>
    <t xml:space="preserve"> အေးပြည့်အောင်-999/ခိုင်မြတ်ဝင်း</t>
  </si>
  <si>
    <t xml:space="preserve"> စိုးစံအောင်-ရိုးရိုး /ခိုင်မြတ်ဝင်း</t>
  </si>
  <si>
    <t xml:space="preserve"> စိုးစံအောင် - 7/ခိုင်မြတ်ဝင်း</t>
  </si>
  <si>
    <t xml:space="preserve"> စိုးစံအောင်-9 /ခိုင်မြတ်ဝင်း</t>
  </si>
  <si>
    <t xml:space="preserve"> စိုးပြည့်အောင် - 7 /ခိုင်မြတ်ဝင်း</t>
  </si>
  <si>
    <t>7.10.2026</t>
  </si>
  <si>
    <t>Y-1604</t>
  </si>
  <si>
    <t>Y-561</t>
  </si>
  <si>
    <t>10.10.2026</t>
  </si>
  <si>
    <t>စိုးစံအောင်-7</t>
  </si>
  <si>
    <t>စိုးစံအောင်-ရိုးရိုး</t>
  </si>
  <si>
    <t>စိုးပြည့်အောင်-7</t>
  </si>
  <si>
    <t>ရွှေနတ်သား</t>
  </si>
  <si>
    <t>ရွှေရည်-88</t>
  </si>
  <si>
    <t>အေးပြည့်အောင်-999</t>
  </si>
  <si>
    <t>10.9.2026</t>
  </si>
  <si>
    <t>စိုးစံအောင်-1</t>
  </si>
  <si>
    <t>စိုးစံအောင်-7/စိုးစံအောင်-၁</t>
  </si>
  <si>
    <t>စိုးစံအောင်-ရိုးရိုး/စိုးစံအောင်-၁</t>
  </si>
  <si>
    <t>စိုးပြည့်အောင်-7/စိုးစံအောင်-၁</t>
  </si>
  <si>
    <t>ရွှေနတ်သား/စိုးစံအောင်-၁</t>
  </si>
  <si>
    <t>ရွှေရည်-88/စိုးစံအောင်-၁</t>
  </si>
  <si>
    <t>အေးပြည့်အောင်-999/စိုးစံအောင်-၁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</si>
</sst>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0000455]0"/>
    <numFmt numFmtId="165" formatCode="_(* #,##0_);_(* \(#,##0\);_(* &quot;-&quot;??_);_(@_)"/>
    <numFmt numFmtId="166" formatCode="d\.m\.yyyy"/>
  </numFmts>
  <fonts count="21" x14ac:knownFonts="1">
    <font>
      <sz val="11"/>
      <color theme="1"/>
      <name val="Calibri"/>
      <family val="2"/>
      <scheme val="minor"/>
    </font>
    <font>
      <sz val="12"/>
      <color indexed="8"/>
      <name val="Pyidaungsu"/>
      <family val="2"/>
    </font>
    <font>
      <sz val="12"/>
      <color theme="1"/>
      <name val="Pyidaungsu"/>
      <family val="2"/>
    </font>
    <font>
      <sz val="8"/>
      <color theme="1"/>
      <name val="Pyidaungsu Numbers"/>
      <family val="2"/>
    </font>
    <font>
      <b/>
      <sz val="8"/>
      <color theme="1"/>
      <name val="Pyidaungsu Numbers"/>
      <family val="2"/>
    </font>
    <font>
      <b/>
      <sz val="8"/>
      <name val="Pyidaungsu Numbers"/>
      <family val="2"/>
    </font>
    <font>
      <sz val="11"/>
      <color theme="1"/>
      <name val="Calibri"/>
      <family val="2"/>
      <scheme val="minor"/>
    </font>
    <font>
      <b/>
      <sz val="11"/>
      <color theme="1"/>
      <name val="Pyidaungsu Numbers"/>
      <family val="2"/>
    </font>
    <font>
      <sz val="11"/>
      <color theme="1"/>
      <name val="Pyidaungsu Numbers"/>
      <family val="2"/>
    </font>
    <font>
      <b/>
      <sz val="9"/>
      <name val="Pyidaungsu Numbers"/>
      <family val="2"/>
    </font>
    <font>
      <sz val="9"/>
      <name val="Pyidaungsu Numbers"/>
      <family val="2"/>
    </font>
    <font>
      <b/>
      <sz val="12"/>
      <name val="Pyidaungsu Numbers"/>
      <family val="2"/>
    </font>
    <font>
      <b/>
      <sz val="9"/>
      <color theme="1"/>
      <name val="Pyidaungsu Numbers"/>
      <family val="2"/>
    </font>
    <font>
      <sz val="9"/>
      <color theme="1"/>
      <name val="Pyidaungsu Numbers"/>
      <family val="2"/>
    </font>
    <font>
      <sz val="8"/>
      <name val="Calibri"/>
      <family val="2"/>
      <scheme val="minor"/>
    </font>
    <font>
      <b/>
      <sz val="10"/>
      <color theme="1"/>
      <name val="Pyidaungsu Numbers"/>
      <family val="2"/>
    </font>
    <font>
      <sz val="10"/>
      <color theme="1"/>
      <name val="Pyidaungsu Numbers"/>
      <family val="2"/>
    </font>
    <font>
      <sz val="8"/>
      <name val="Pyidaungsu Numbers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 applyNumberFormat="0" applyFill="0" applyBorder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3" fillId="0" borderId="1" xfId="4" applyFont="1" applyFill="1" applyBorder="1" applyAlignment="1">
      <alignment vertical="center"/>
    </xf>
    <xf numFmtId="43" fontId="3" fillId="0" borderId="1" xfId="4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textRotation="90"/>
    </xf>
    <xf numFmtId="2" fontId="9" fillId="0" borderId="1" xfId="0" applyNumberFormat="1" applyFont="1" applyBorder="1" applyAlignment="1">
      <alignment horizontal="center" vertical="center" textRotation="90" wrapText="1"/>
    </xf>
    <xf numFmtId="164" fontId="9" fillId="0" borderId="1" xfId="0" applyNumberFormat="1" applyFont="1" applyBorder="1" applyAlignment="1">
      <alignment horizontal="center" vertical="center" textRotation="90"/>
    </xf>
    <xf numFmtId="2" fontId="9" fillId="0" borderId="0" xfId="0" applyNumberFormat="1" applyFont="1" applyAlignment="1">
      <alignment vertical="center"/>
    </xf>
    <xf numFmtId="1" fontId="9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65" fontId="10" fillId="0" borderId="1" xfId="4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43" fontId="13" fillId="0" borderId="1" xfId="4" applyFont="1" applyFill="1" applyBorder="1" applyAlignment="1">
      <alignment vertical="center"/>
    </xf>
    <xf numFmtId="43" fontId="13" fillId="0" borderId="0" xfId="4" applyFont="1" applyAlignment="1">
      <alignment vertical="center"/>
    </xf>
    <xf numFmtId="43" fontId="12" fillId="0" borderId="1" xfId="4" applyFont="1" applyFill="1" applyBorder="1" applyAlignment="1">
      <alignment horizontal="right" vertical="center"/>
    </xf>
    <xf numFmtId="43" fontId="12" fillId="0" borderId="0" xfId="4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left" vertical="center"/>
    </xf>
    <xf numFmtId="2" fontId="10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 textRotation="90"/>
    </xf>
    <xf numFmtId="0" fontId="3" fillId="0" borderId="0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165" fontId="17" fillId="0" borderId="1" xfId="4" applyNumberFormat="1" applyFont="1" applyFill="1" applyBorder="1" applyAlignment="1">
      <alignment horizontal="center" vertical="center" wrapText="1"/>
    </xf>
    <xf numFmtId="43" fontId="3" fillId="0" borderId="4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10" fillId="0" borderId="0" xfId="4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5" fontId="10" fillId="0" borderId="1" xfId="4" applyNumberFormat="1" applyFont="1" applyFill="1" applyBorder="1" applyAlignment="1">
      <alignment horizontal="left" vertical="center" wrapText="1"/>
    </xf>
    <xf numFmtId="2" fontId="10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textRotation="90"/>
    </xf>
    <xf numFmtId="1" fontId="10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textRotation="90"/>
    </xf>
    <xf numFmtId="43" fontId="13" fillId="0" borderId="6" xfId="4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 textRotation="90"/>
    </xf>
    <xf numFmtId="2" fontId="10" fillId="0" borderId="8" xfId="0" applyNumberFormat="1" applyFont="1" applyBorder="1" applyAlignment="1">
      <alignment horizontal="center" vertical="center" textRotation="90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3" fontId="13" fillId="0" borderId="5" xfId="4" applyFont="1" applyFill="1" applyBorder="1" applyAlignment="1">
      <alignment horizontal="center" vertical="center"/>
    </xf>
    <xf numFmtId="43" fontId="13" fillId="0" borderId="8" xfId="4" applyFont="1" applyFill="1" applyBorder="1" applyAlignment="1">
      <alignment horizontal="center" vertical="center"/>
    </xf>
    <xf numFmtId="43" fontId="13" fillId="0" borderId="6" xfId="4" applyFont="1" applyFill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2" fontId="11" fillId="0" borderId="0" xfId="0" applyNumberFormat="1" applyFont="1" applyAlignment="1">
      <alignment horizontal="left" vertical="center" wrapText="1"/>
    </xf>
    <xf numFmtId="2" fontId="9" fillId="0" borderId="5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textRotation="90"/>
    </xf>
    <xf numFmtId="0" fontId="9" fillId="0" borderId="6" xfId="0" applyFont="1" applyBorder="1" applyAlignment="1">
      <alignment horizontal="center" vertical="center" textRotation="90"/>
    </xf>
    <xf numFmtId="2" fontId="9" fillId="0" borderId="2" xfId="0" applyNumberFormat="1" applyFont="1" applyBorder="1" applyAlignment="1">
      <alignment horizontal="left" vertical="center" wrapText="1"/>
    </xf>
    <xf numFmtId="2" fontId="9" fillId="0" borderId="2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textRotation="90"/>
    </xf>
    <xf numFmtId="14" fontId="9" fillId="0" borderId="8" xfId="0" applyNumberFormat="1" applyFont="1" applyBorder="1" applyAlignment="1">
      <alignment horizontal="center" vertical="center" textRotation="90"/>
    </xf>
    <xf numFmtId="14" fontId="10" fillId="0" borderId="8" xfId="0" applyNumberFormat="1" applyFont="1" applyBorder="1" applyAlignment="1">
      <alignment horizontal="center" vertical="center" textRotation="90"/>
    </xf>
    <xf numFmtId="14" fontId="10" fillId="0" borderId="6" xfId="0" applyNumberFormat="1" applyFont="1" applyBorder="1" applyAlignment="1">
      <alignment horizontal="center" vertical="center" textRotation="90"/>
    </xf>
    <xf numFmtId="14" fontId="10" fillId="0" borderId="5" xfId="0" applyNumberFormat="1" applyFont="1" applyBorder="1" applyAlignment="1">
      <alignment horizontal="center" vertical="center" textRotation="90"/>
    </xf>
    <xf numFmtId="2" fontId="10" fillId="0" borderId="1" xfId="0" applyNumberFormat="1" applyFont="1" applyBorder="1" applyAlignment="1">
      <alignment horizontal="center" vertical="center" textRotation="90"/>
    </xf>
    <xf numFmtId="2" fontId="20" fillId="0" borderId="6" xfId="0" applyNumberFormat="1" applyFont="1" applyBorder="1" applyAlignment="1">
      <alignment horizontal="center" vertical="center" wrapText="1"/>
    </xf>
  </cellXfs>
  <cellStyles count="5">
    <cellStyle name="Comma" xfId="4" builtinId="3"/>
    <cellStyle name="Comma 2" xfId="3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357809</xdr:colOff>
      <xdr:row>19</xdr:row>
      <xdr:rowOff>66262</xdr:rowOff>
    </xdr:from>
    <xdr:to>
      <xdr:col>11</xdr:col>
      <xdr:colOff>376567</xdr:colOff>
      <xdr:row>23</xdr:row>
      <xdr:rowOff>15817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9896" y="31944366"/>
          <a:ext cx="1133062" cy="8199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594360</xdr:colOff>
      <xdr:row>20</xdr:row>
      <xdr:rowOff>7620</xdr:rowOff>
    </xdr:from>
    <xdr:to>
      <xdr:col>8</xdr:col>
      <xdr:colOff>493176</xdr:colOff>
      <xdr:row>24</xdr:row>
      <xdr:rowOff>148218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240" y="43220640"/>
          <a:ext cx="1255176" cy="9330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68580</xdr:colOff>
      <xdr:row>19</xdr:row>
      <xdr:rowOff>0</xdr:rowOff>
    </xdr:from>
    <xdr:to>
      <xdr:col>32</xdr:col>
      <xdr:colOff>83453</xdr:colOff>
      <xdr:row>24</xdr:row>
      <xdr:rowOff>1096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0880" y="1927860"/>
          <a:ext cx="1264553" cy="9154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82</xdr:col>
      <xdr:colOff>182880</xdr:colOff>
      <xdr:row>18</xdr:row>
      <xdr:rowOff>83820</xdr:rowOff>
    </xdr:from>
    <xdr:to>
      <xdr:col>84</xdr:col>
      <xdr:colOff>432804</xdr:colOff>
      <xdr:row>22</xdr:row>
      <xdr:rowOff>164074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33340" y="2438400"/>
          <a:ext cx="1263384" cy="933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9"/>
  <sheetViews>
    <sheetView showGridLines="0" topLeftCell="A7" zoomScaleNormal="100" workbookViewId="0">
      <selection activeCell="G13" sqref="G13"/>
    </sheetView>
  </sheetViews>
  <sheetFormatPr defaultColWidth="9.109375" defaultRowHeight="18" customHeight="1" x14ac:dyDescent="0.3"/>
  <cols>
    <col min="1" max="1" width="4.77734375" style="49" customWidth="1"/>
    <col min="2" max="2" width="3.88671875" style="31" customWidth="1"/>
    <col min="3" max="3" width="14.33203125" style="3" customWidth="1"/>
    <col min="4" max="4" width="5.109375" style="3" customWidth="1"/>
    <col min="5" max="5" width="17.109375" style="1" customWidth="1"/>
    <col min="6" max="6" width="8.88671875" style="3" customWidth="1"/>
    <col min="7" max="7" width="10.33203125" style="1" customWidth="1"/>
    <col min="8" max="8" width="6.21875" style="1" customWidth="1"/>
    <col min="9" max="9" width="10.33203125" style="1" customWidth="1"/>
    <col min="10" max="10" width="6.77734375" style="1" customWidth="1"/>
    <col min="11" max="11" width="9.44140625" style="1" customWidth="1"/>
    <col min="12" max="12" width="6.88671875" style="1" customWidth="1"/>
    <col min="13" max="13" width="10" style="1" customWidth="1"/>
    <col min="14" max="16384" width="9.109375" style="1"/>
  </cols>
  <sheetData>
    <row r="1" spans="1:16" s="2" customFormat="1" ht="18" customHeight="1" x14ac:dyDescent="0.3">
      <c r="A1" s="76" t="s">
        <v>104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6" s="2" customFormat="1" ht="18" customHeight="1" x14ac:dyDescent="0.3">
      <c r="A2" s="77" t="s">
        <v>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6" s="2" customFormat="1" ht="18" customHeight="1" x14ac:dyDescent="0.3">
      <c r="A3" s="82" t="s">
        <v>0</v>
      </c>
      <c r="B3" s="84" t="s">
        <v>105</v>
      </c>
      <c r="C3" s="79" t="s">
        <v>110</v>
      </c>
      <c r="D3" s="79" t="s">
        <v>2</v>
      </c>
      <c r="E3" s="79" t="s">
        <v>21</v>
      </c>
      <c r="F3" s="79" t="s">
        <v>2</v>
      </c>
      <c r="G3" s="79" t="s">
        <v>22</v>
      </c>
      <c r="H3" s="78" t="s">
        <v>8</v>
      </c>
      <c r="I3" s="78"/>
      <c r="J3" s="78"/>
      <c r="K3" s="78"/>
      <c r="L3" s="79" t="s">
        <v>20</v>
      </c>
    </row>
    <row r="4" spans="1:16" s="41" customFormat="1" ht="67.2" customHeight="1" x14ac:dyDescent="0.3">
      <c r="A4" s="83"/>
      <c r="B4" s="85"/>
      <c r="C4" s="81"/>
      <c r="D4" s="81"/>
      <c r="E4" s="81"/>
      <c r="F4" s="81"/>
      <c r="G4" s="81"/>
      <c r="H4" s="36" t="s">
        <v>14</v>
      </c>
      <c r="I4" s="36" t="s">
        <v>3</v>
      </c>
      <c r="J4" s="36" t="s">
        <v>7</v>
      </c>
      <c r="K4" s="36" t="s">
        <v>4</v>
      </c>
      <c r="L4" s="80"/>
    </row>
    <row r="5" spans="1:16" ht="22.8" customHeight="1" x14ac:dyDescent="0.3">
      <c r="A5" s="58">
        <v>1</v>
      </c>
      <c r="B5" s="117" t="s">
        <v>129</v>
      </c>
      <c r="C5" s="71" t="s">
        <v>114</v>
      </c>
      <c r="D5" s="51"/>
      <c r="E5" s="37" t="s">
        <v>121</v>
      </c>
      <c r="F5" s="67" t="s">
        <v>116</v>
      </c>
      <c r="G5" s="9">
        <v>24479</v>
      </c>
      <c r="H5" s="9"/>
      <c r="I5" s="9">
        <v>24479</v>
      </c>
      <c r="J5" s="9"/>
      <c r="K5" s="9">
        <v>24479</v>
      </c>
      <c r="L5" s="9">
        <v>0</v>
      </c>
      <c r="M5" s="35"/>
      <c r="P5" s="45"/>
    </row>
    <row r="6" spans="1:16" ht="22.8" customHeight="1" x14ac:dyDescent="0.3">
      <c r="A6" s="58">
        <v>2</v>
      </c>
      <c r="B6" s="117"/>
      <c r="C6" s="72"/>
      <c r="D6" s="51"/>
      <c r="E6" s="37" t="s">
        <v>122</v>
      </c>
      <c r="F6" s="67" t="s">
        <v>111</v>
      </c>
      <c r="G6" s="9">
        <v>729</v>
      </c>
      <c r="H6" s="9"/>
      <c r="I6" s="9">
        <v>729</v>
      </c>
      <c r="J6" s="9"/>
      <c r="K6" s="9">
        <v>729</v>
      </c>
      <c r="L6" s="9">
        <v>0</v>
      </c>
      <c r="M6" s="35"/>
      <c r="P6" s="45"/>
    </row>
    <row r="7" spans="1:16" ht="22.8" customHeight="1" x14ac:dyDescent="0.3">
      <c r="A7" s="58">
        <v>3</v>
      </c>
      <c r="B7" s="117"/>
      <c r="C7" s="72"/>
      <c r="D7" s="51"/>
      <c r="E7" s="37" t="s">
        <v>123</v>
      </c>
      <c r="F7" s="67" t="s">
        <v>111</v>
      </c>
      <c r="G7" s="9">
        <v>864</v>
      </c>
      <c r="H7" s="9"/>
      <c r="I7" s="9">
        <v>864</v>
      </c>
      <c r="J7" s="9"/>
      <c r="K7" s="9">
        <v>864</v>
      </c>
      <c r="L7" s="9">
        <v>0</v>
      </c>
      <c r="M7" s="35"/>
      <c r="P7" s="45"/>
    </row>
    <row r="8" spans="1:16" ht="22.8" customHeight="1" x14ac:dyDescent="0.3">
      <c r="A8" s="58">
        <v>4</v>
      </c>
      <c r="B8" s="117"/>
      <c r="C8" s="72"/>
      <c r="D8" s="51"/>
      <c r="E8" s="37" t="s">
        <v>124</v>
      </c>
      <c r="F8" s="67" t="s">
        <v>138</v>
      </c>
      <c r="G8" s="9">
        <v>12272</v>
      </c>
      <c r="H8" s="9"/>
      <c r="I8" s="9">
        <v>12272</v>
      </c>
      <c r="J8" s="9"/>
      <c r="K8" s="9">
        <v>12272</v>
      </c>
      <c r="L8" s="9">
        <v>0</v>
      </c>
      <c r="M8" s="35"/>
      <c r="P8" s="45"/>
    </row>
    <row r="9" spans="1:16" ht="22.8" customHeight="1" x14ac:dyDescent="0.3">
      <c r="A9" s="58">
        <v>5</v>
      </c>
      <c r="B9" s="117"/>
      <c r="C9" s="72"/>
      <c r="D9" s="51"/>
      <c r="E9" s="37" t="s">
        <v>125</v>
      </c>
      <c r="F9" s="67" t="s">
        <v>119</v>
      </c>
      <c r="G9" s="9">
        <v>6667.5</v>
      </c>
      <c r="H9" s="9"/>
      <c r="I9" s="9">
        <v>6667.5</v>
      </c>
      <c r="J9" s="9"/>
      <c r="K9" s="9">
        <v>6667.5</v>
      </c>
      <c r="L9" s="9">
        <v>0</v>
      </c>
      <c r="M9" s="35"/>
      <c r="P9" s="45"/>
    </row>
    <row r="10" spans="1:16" ht="22.8" customHeight="1" x14ac:dyDescent="0.3">
      <c r="A10" s="58">
        <v>6</v>
      </c>
      <c r="B10" s="117"/>
      <c r="C10" s="72"/>
      <c r="D10" s="51"/>
      <c r="E10" s="37" t="s">
        <v>126</v>
      </c>
      <c r="F10" s="67" t="s">
        <v>139</v>
      </c>
      <c r="G10" s="9">
        <v>7115.5</v>
      </c>
      <c r="H10" s="9"/>
      <c r="I10" s="9">
        <v>7115.5</v>
      </c>
      <c r="J10" s="9"/>
      <c r="K10" s="9">
        <v>7115.5</v>
      </c>
      <c r="L10" s="9">
        <v>0</v>
      </c>
      <c r="M10" s="35"/>
      <c r="P10" s="45"/>
    </row>
    <row r="11" spans="1:16" ht="22.8" customHeight="1" x14ac:dyDescent="0.3">
      <c r="A11" s="58">
        <v>7</v>
      </c>
      <c r="B11" s="117"/>
      <c r="C11" s="73"/>
      <c r="D11" s="51"/>
      <c r="E11" s="37" t="s">
        <v>127</v>
      </c>
      <c r="F11" s="67" t="s">
        <v>118</v>
      </c>
      <c r="G11" s="9">
        <v>5100</v>
      </c>
      <c r="H11" s="9"/>
      <c r="I11" s="9">
        <v>5100</v>
      </c>
      <c r="J11" s="9"/>
      <c r="K11" s="9">
        <v>5100</v>
      </c>
      <c r="L11" s="9">
        <v>0</v>
      </c>
      <c r="M11" s="35"/>
      <c r="P11" s="45"/>
    </row>
    <row r="12" spans="1:16" ht="22.8" customHeight="1" x14ac:dyDescent="0.3">
      <c r="A12" s="58">
        <v>8</v>
      </c>
      <c r="B12" s="74" t="s">
        <v>147</v>
      </c>
      <c r="C12" s="71" t="s">
        <v>148</v>
      </c>
      <c r="D12" s="51"/>
      <c r="E12" s="37" t="s">
        <v>141</v>
      </c>
      <c r="F12" s="67" t="s">
        <v>119</v>
      </c>
      <c r="G12" s="9">
        <v>23888</v>
      </c>
      <c r="H12" s="9"/>
      <c r="I12" s="9">
        <v>23888</v>
      </c>
      <c r="J12" s="9"/>
      <c r="K12" s="9">
        <v>23888</v>
      </c>
      <c r="L12" s="9">
        <v>0</v>
      </c>
      <c r="M12" s="35"/>
      <c r="P12" s="45"/>
    </row>
    <row r="13" spans="1:16" ht="22.8" customHeight="1" x14ac:dyDescent="0.3">
      <c r="A13" s="58">
        <v>9</v>
      </c>
      <c r="B13" s="75"/>
      <c r="C13" s="72"/>
      <c r="D13" s="51"/>
      <c r="E13" s="37" t="s">
        <v>142</v>
      </c>
      <c r="F13" s="67" t="s">
        <v>138</v>
      </c>
      <c r="G13" s="9">
        <v>24937.5</v>
      </c>
      <c r="H13" s="9"/>
      <c r="I13" s="9">
        <v>24937.5</v>
      </c>
      <c r="J13" s="9"/>
      <c r="K13" s="9">
        <v>24937.5</v>
      </c>
      <c r="L13" s="9">
        <v>0</v>
      </c>
      <c r="M13" s="35"/>
      <c r="P13" s="45"/>
    </row>
    <row r="14" spans="1:16" ht="22.8" customHeight="1" x14ac:dyDescent="0.3">
      <c r="A14" s="58">
        <v>10</v>
      </c>
      <c r="B14" s="75"/>
      <c r="C14" s="72"/>
      <c r="D14" s="51"/>
      <c r="E14" s="37" t="s">
        <v>143</v>
      </c>
      <c r="F14" s="67" t="s">
        <v>118</v>
      </c>
      <c r="G14" s="9">
        <v>8438</v>
      </c>
      <c r="H14" s="9"/>
      <c r="I14" s="9">
        <v>8438</v>
      </c>
      <c r="J14" s="9"/>
      <c r="K14" s="9">
        <v>8438</v>
      </c>
      <c r="L14" s="9">
        <v>0</v>
      </c>
      <c r="M14" s="35"/>
      <c r="P14" s="45"/>
    </row>
    <row r="15" spans="1:16" ht="22.8" customHeight="1" x14ac:dyDescent="0.3">
      <c r="A15" s="58">
        <v>11</v>
      </c>
      <c r="B15" s="75"/>
      <c r="C15" s="72"/>
      <c r="D15" s="51"/>
      <c r="E15" s="37" t="s">
        <v>144</v>
      </c>
      <c r="F15" s="67" t="s">
        <v>116</v>
      </c>
      <c r="G15" s="9">
        <v>19438.5</v>
      </c>
      <c r="H15" s="9"/>
      <c r="I15" s="9">
        <v>19438.5</v>
      </c>
      <c r="J15" s="9"/>
      <c r="K15" s="9">
        <v>19438.5</v>
      </c>
      <c r="L15" s="9">
        <v>0</v>
      </c>
      <c r="M15" s="35"/>
      <c r="P15" s="45"/>
    </row>
    <row r="16" spans="1:16" ht="22.8" customHeight="1" x14ac:dyDescent="0.3">
      <c r="A16" s="58">
        <v>12</v>
      </c>
      <c r="B16" s="75"/>
      <c r="C16" s="72"/>
      <c r="D16" s="51"/>
      <c r="E16" s="37" t="s">
        <v>145</v>
      </c>
      <c r="F16" s="56" t="s">
        <v>111</v>
      </c>
      <c r="G16" s="9">
        <v>6101.5</v>
      </c>
      <c r="H16" s="9"/>
      <c r="I16" s="9">
        <v>6101.5</v>
      </c>
      <c r="J16" s="9"/>
      <c r="K16" s="9">
        <v>6101.5</v>
      </c>
      <c r="L16" s="9">
        <v>0</v>
      </c>
      <c r="M16" s="35"/>
      <c r="P16" s="45"/>
    </row>
    <row r="17" spans="1:16" ht="23.4" customHeight="1" x14ac:dyDescent="0.3">
      <c r="A17" s="58">
        <v>13</v>
      </c>
      <c r="B17" s="94"/>
      <c r="C17" s="73"/>
      <c r="D17" s="51"/>
      <c r="E17" s="37" t="s">
        <v>146</v>
      </c>
      <c r="F17" s="56" t="s">
        <v>111</v>
      </c>
      <c r="G17" s="9">
        <v>8399.5</v>
      </c>
      <c r="H17" s="9"/>
      <c r="I17" s="9">
        <v>8399.5</v>
      </c>
      <c r="J17" s="9"/>
      <c r="K17" s="9">
        <v>8399.5</v>
      </c>
      <c r="L17" s="9">
        <v>0</v>
      </c>
      <c r="M17" s="35"/>
      <c r="P17" s="45"/>
    </row>
    <row r="18" spans="1:16" ht="22.8" customHeight="1" x14ac:dyDescent="0.3">
      <c r="A18" s="58"/>
      <c r="B18" s="37"/>
      <c r="C18" s="37"/>
      <c r="D18" s="51"/>
      <c r="E18" s="5"/>
      <c r="F18" s="56"/>
      <c r="G18" s="50"/>
      <c r="H18" s="9"/>
      <c r="I18" s="50"/>
      <c r="J18" s="9"/>
      <c r="K18" s="50"/>
      <c r="L18" s="9"/>
      <c r="P18" s="45"/>
    </row>
    <row r="19" spans="1:16" s="2" customFormat="1" ht="18" customHeight="1" x14ac:dyDescent="0.3">
      <c r="A19" s="68"/>
      <c r="B19" s="69"/>
      <c r="C19" s="69"/>
      <c r="D19" s="69"/>
      <c r="E19" s="70"/>
      <c r="F19" s="56"/>
      <c r="G19" s="8"/>
      <c r="H19" s="8"/>
      <c r="I19" s="8"/>
      <c r="J19" s="8"/>
      <c r="K19" s="8"/>
      <c r="L19" s="8"/>
    </row>
    <row r="20" spans="1:16" ht="18" customHeight="1" x14ac:dyDescent="0.3">
      <c r="G20" s="35"/>
    </row>
    <row r="22" spans="1:16" ht="18" customHeight="1" x14ac:dyDescent="0.3">
      <c r="G22" s="35"/>
    </row>
    <row r="29" spans="1:16" ht="18" customHeight="1" x14ac:dyDescent="0.3">
      <c r="E29" s="1" t="s">
        <v>108</v>
      </c>
    </row>
  </sheetData>
  <mergeCells count="16">
    <mergeCell ref="B12:B17"/>
    <mergeCell ref="C12:C17"/>
    <mergeCell ref="A19:E19"/>
    <mergeCell ref="C5:C11"/>
    <mergeCell ref="B5:B11"/>
    <mergeCell ref="A1:L1"/>
    <mergeCell ref="A2:L2"/>
    <mergeCell ref="H3:K3"/>
    <mergeCell ref="L3:L4"/>
    <mergeCell ref="F3:F4"/>
    <mergeCell ref="G3:G4"/>
    <mergeCell ref="A3:A4"/>
    <mergeCell ref="C3:C4"/>
    <mergeCell ref="D3:D4"/>
    <mergeCell ref="E3:E4"/>
    <mergeCell ref="B3:B4"/>
  </mergeCells>
  <printOptions horizontalCentered="1"/>
  <pageMargins left="9.8425196850393706E-2" right="9.8425196850393706E-2" top="0.23" bottom="9.8425196850393706E-2" header="9.8425196850393706E-2" footer="9.8425196850393706E-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4"/>
  <sheetViews>
    <sheetView showGridLines="0" tabSelected="1" zoomScaleNormal="100" workbookViewId="0">
      <selection activeCell="J9" sqref="J9"/>
    </sheetView>
  </sheetViews>
  <sheetFormatPr defaultColWidth="9.109375" defaultRowHeight="16.05" customHeight="1" x14ac:dyDescent="0.3"/>
  <cols>
    <col min="1" max="1" width="4.88671875" style="26" customWidth="1"/>
    <col min="2" max="2" width="4.21875" style="34" customWidth="1"/>
    <col min="3" max="3" width="12.33203125" style="47" customWidth="1"/>
    <col min="4" max="4" width="29.33203125" style="19" customWidth="1"/>
    <col min="5" max="5" width="9.6640625" style="19" customWidth="1"/>
    <col min="6" max="6" width="8.6640625" style="19" customWidth="1"/>
    <col min="7" max="7" width="9.6640625" style="19" customWidth="1"/>
    <col min="8" max="8" width="10.109375" style="19" customWidth="1"/>
    <col min="9" max="9" width="9.88671875" style="19" customWidth="1"/>
    <col min="10" max="14" width="16.109375" style="19" customWidth="1"/>
    <col min="15" max="16384" width="9.109375" style="19"/>
  </cols>
  <sheetData>
    <row r="1" spans="1:10" ht="16.05" customHeight="1" x14ac:dyDescent="0.3">
      <c r="A1" s="86" t="s">
        <v>104</v>
      </c>
      <c r="B1" s="86"/>
      <c r="C1" s="86"/>
      <c r="D1" s="86"/>
      <c r="E1" s="86"/>
      <c r="F1" s="86"/>
      <c r="G1" s="86"/>
      <c r="H1" s="86"/>
      <c r="I1" s="86"/>
    </row>
    <row r="2" spans="1:10" s="20" customFormat="1" ht="16.05" customHeight="1" x14ac:dyDescent="0.3">
      <c r="A2" s="87" t="s">
        <v>10</v>
      </c>
      <c r="B2" s="87"/>
      <c r="C2" s="87"/>
      <c r="D2" s="87"/>
      <c r="E2" s="87"/>
      <c r="F2" s="87"/>
      <c r="G2" s="87"/>
      <c r="H2" s="87"/>
      <c r="I2" s="87"/>
    </row>
    <row r="3" spans="1:10" s="20" customFormat="1" ht="16.05" customHeight="1" x14ac:dyDescent="0.3">
      <c r="A3" s="28" t="s">
        <v>0</v>
      </c>
      <c r="B3" s="33" t="s">
        <v>105</v>
      </c>
      <c r="C3" s="46" t="s">
        <v>5</v>
      </c>
      <c r="D3" s="29" t="s">
        <v>24</v>
      </c>
      <c r="E3" s="30"/>
      <c r="F3" s="27" t="s">
        <v>12</v>
      </c>
      <c r="G3" s="27" t="s">
        <v>11</v>
      </c>
      <c r="H3" s="27" t="s">
        <v>13</v>
      </c>
      <c r="I3" s="27" t="s">
        <v>23</v>
      </c>
    </row>
    <row r="4" spans="1:10" s="20" customFormat="1" ht="16.05" customHeight="1" x14ac:dyDescent="0.3">
      <c r="A4" s="58"/>
      <c r="B4" s="22"/>
      <c r="C4" s="22"/>
      <c r="D4" s="57" t="s">
        <v>1</v>
      </c>
      <c r="E4" s="42" t="s">
        <v>6</v>
      </c>
      <c r="F4" s="43"/>
      <c r="G4" s="42"/>
      <c r="H4" s="42"/>
      <c r="I4" s="42"/>
    </row>
    <row r="5" spans="1:10" s="20" customFormat="1" ht="20.399999999999999" customHeight="1" x14ac:dyDescent="0.3">
      <c r="A5" s="58">
        <v>1</v>
      </c>
      <c r="B5" s="74" t="s">
        <v>137</v>
      </c>
      <c r="C5" s="91" t="s">
        <v>112</v>
      </c>
      <c r="D5" s="37" t="s">
        <v>130</v>
      </c>
      <c r="E5" s="22">
        <v>39.965714285714284</v>
      </c>
      <c r="F5" s="22"/>
      <c r="G5" s="22">
        <v>39.965714285714284</v>
      </c>
      <c r="H5" s="22">
        <v>39.965714285714284</v>
      </c>
      <c r="I5" s="22">
        <v>0</v>
      </c>
      <c r="J5" s="23"/>
    </row>
    <row r="6" spans="1:10" s="20" customFormat="1" ht="20.399999999999999" customHeight="1" x14ac:dyDescent="0.3">
      <c r="A6" s="58">
        <v>2</v>
      </c>
      <c r="B6" s="75"/>
      <c r="C6" s="92"/>
      <c r="D6" s="37" t="s">
        <v>131</v>
      </c>
      <c r="E6" s="22">
        <v>1.1902040816326531</v>
      </c>
      <c r="F6" s="22"/>
      <c r="G6" s="22">
        <v>1.1902040816326531</v>
      </c>
      <c r="H6" s="22">
        <v>1.1902040816326531</v>
      </c>
      <c r="I6" s="22">
        <v>0</v>
      </c>
      <c r="J6" s="23"/>
    </row>
    <row r="7" spans="1:10" s="20" customFormat="1" ht="20.399999999999999" customHeight="1" x14ac:dyDescent="0.3">
      <c r="A7" s="58">
        <v>3</v>
      </c>
      <c r="B7" s="75"/>
      <c r="C7" s="92"/>
      <c r="D7" s="37" t="s">
        <v>132</v>
      </c>
      <c r="E7" s="22">
        <v>1.4106122448979592</v>
      </c>
      <c r="F7" s="22"/>
      <c r="G7" s="22">
        <v>1.4106122448979592</v>
      </c>
      <c r="H7" s="22">
        <v>1.4106122448979592</v>
      </c>
      <c r="I7" s="22">
        <v>0</v>
      </c>
      <c r="J7" s="23"/>
    </row>
    <row r="8" spans="1:10" s="20" customFormat="1" ht="20.399999999999999" customHeight="1" x14ac:dyDescent="0.3">
      <c r="A8" s="58">
        <v>4</v>
      </c>
      <c r="B8" s="75"/>
      <c r="C8" s="92"/>
      <c r="D8" s="37" t="s">
        <v>133</v>
      </c>
      <c r="E8" s="22">
        <v>20.035918367346937</v>
      </c>
      <c r="F8" s="22"/>
      <c r="G8" s="22">
        <v>20.035918367346937</v>
      </c>
      <c r="H8" s="22">
        <v>20.035918367346937</v>
      </c>
      <c r="I8" s="22">
        <v>0</v>
      </c>
      <c r="J8" s="23"/>
    </row>
    <row r="9" spans="1:10" s="20" customFormat="1" ht="20.399999999999999" customHeight="1" x14ac:dyDescent="0.3">
      <c r="A9" s="58">
        <v>5</v>
      </c>
      <c r="B9" s="75"/>
      <c r="C9" s="92"/>
      <c r="D9" s="37" t="s">
        <v>134</v>
      </c>
      <c r="E9" s="22">
        <v>10.885714285714286</v>
      </c>
      <c r="F9" s="22"/>
      <c r="G9" s="22">
        <v>10.885714285714286</v>
      </c>
      <c r="H9" s="22">
        <v>10.885714285714286</v>
      </c>
      <c r="I9" s="22">
        <v>0</v>
      </c>
      <c r="J9" s="23"/>
    </row>
    <row r="10" spans="1:10" s="20" customFormat="1" ht="20.399999999999999" customHeight="1" x14ac:dyDescent="0.3">
      <c r="A10" s="58">
        <v>6</v>
      </c>
      <c r="B10" s="75"/>
      <c r="C10" s="92"/>
      <c r="D10" s="37" t="s">
        <v>135</v>
      </c>
      <c r="E10" s="22">
        <v>11.617142857142857</v>
      </c>
      <c r="F10" s="22"/>
      <c r="G10" s="22">
        <v>11.617142857142857</v>
      </c>
      <c r="H10" s="22">
        <v>11.617142857142857</v>
      </c>
      <c r="I10" s="22">
        <v>0</v>
      </c>
      <c r="J10" s="23"/>
    </row>
    <row r="11" spans="1:10" s="20" customFormat="1" ht="20.399999999999999" customHeight="1" x14ac:dyDescent="0.3">
      <c r="A11" s="58">
        <v>7</v>
      </c>
      <c r="B11" s="94"/>
      <c r="C11" s="93"/>
      <c r="D11" s="37" t="s">
        <v>136</v>
      </c>
      <c r="E11" s="22">
        <v>8.3265306122448983</v>
      </c>
      <c r="F11" s="22"/>
      <c r="G11" s="22">
        <v>8.3265306122448983</v>
      </c>
      <c r="H11" s="22">
        <v>8.3265306122448983</v>
      </c>
      <c r="I11" s="22">
        <v>0</v>
      </c>
      <c r="J11" s="23"/>
    </row>
    <row r="12" spans="1:10" s="20" customFormat="1" ht="20.399999999999999" customHeight="1" x14ac:dyDescent="0.3">
      <c r="A12" s="58">
        <v>8</v>
      </c>
      <c r="B12" s="74" t="s">
        <v>140</v>
      </c>
      <c r="C12" s="91" t="s">
        <v>112</v>
      </c>
      <c r="D12" s="37" t="s">
        <v>149</v>
      </c>
      <c r="E12" s="22">
        <v>39.000816326530611</v>
      </c>
      <c r="F12" s="22"/>
      <c r="G12" s="22">
        <v>39.000816326530611</v>
      </c>
      <c r="H12" s="22">
        <v>39.000816326530611</v>
      </c>
      <c r="I12" s="22">
        <v>0</v>
      </c>
      <c r="J12" s="23"/>
    </row>
    <row r="13" spans="1:10" s="20" customFormat="1" ht="20.399999999999999" customHeight="1" x14ac:dyDescent="0.3">
      <c r="A13" s="58">
        <v>9</v>
      </c>
      <c r="B13" s="75"/>
      <c r="C13" s="92"/>
      <c r="D13" s="37" t="s">
        <v>150</v>
      </c>
      <c r="E13" s="22">
        <v>40.714285714285715</v>
      </c>
      <c r="F13" s="22"/>
      <c r="G13" s="22">
        <v>40.714285714285715</v>
      </c>
      <c r="H13" s="22">
        <v>40.714285714285715</v>
      </c>
      <c r="I13" s="22">
        <v>0</v>
      </c>
      <c r="J13" s="23"/>
    </row>
    <row r="14" spans="1:10" s="20" customFormat="1" ht="20.399999999999999" customHeight="1" x14ac:dyDescent="0.3">
      <c r="A14" s="58">
        <v>10</v>
      </c>
      <c r="B14" s="75"/>
      <c r="C14" s="92"/>
      <c r="D14" s="37" t="s">
        <v>151</v>
      </c>
      <c r="E14" s="22">
        <v>13.776326530612245</v>
      </c>
      <c r="F14" s="22"/>
      <c r="G14" s="22">
        <v>13.776326530612245</v>
      </c>
      <c r="H14" s="22">
        <v>13.776326530612245</v>
      </c>
      <c r="I14" s="22">
        <v>0</v>
      </c>
      <c r="J14" s="23"/>
    </row>
    <row r="15" spans="1:10" s="20" customFormat="1" ht="20.399999999999999" customHeight="1" x14ac:dyDescent="0.3">
      <c r="A15" s="58">
        <v>11</v>
      </c>
      <c r="B15" s="75"/>
      <c r="C15" s="92"/>
      <c r="D15" s="37" t="s">
        <v>152</v>
      </c>
      <c r="E15" s="22">
        <v>31.736326530612246</v>
      </c>
      <c r="F15" s="22"/>
      <c r="G15" s="22">
        <v>31.736326530612246</v>
      </c>
      <c r="H15" s="22">
        <v>31.736326530612246</v>
      </c>
      <c r="I15" s="22">
        <v>0</v>
      </c>
      <c r="J15" s="23"/>
    </row>
    <row r="16" spans="1:10" s="20" customFormat="1" ht="20.399999999999999" customHeight="1" x14ac:dyDescent="0.3">
      <c r="A16" s="58">
        <v>12</v>
      </c>
      <c r="B16" s="75"/>
      <c r="C16" s="92"/>
      <c r="D16" s="37" t="s">
        <v>153</v>
      </c>
      <c r="E16" s="22">
        <v>9.9616326530612245</v>
      </c>
      <c r="F16" s="22"/>
      <c r="G16" s="22">
        <v>9.9616326530612245</v>
      </c>
      <c r="H16" s="22">
        <v>9.9616326530612245</v>
      </c>
      <c r="I16" s="22">
        <v>0</v>
      </c>
      <c r="J16" s="23"/>
    </row>
    <row r="17" spans="1:12" s="20" customFormat="1" ht="20.399999999999999" customHeight="1" x14ac:dyDescent="0.3">
      <c r="A17" s="58">
        <v>13</v>
      </c>
      <c r="B17" s="94"/>
      <c r="C17" s="93"/>
      <c r="D17" s="37" t="s">
        <v>154</v>
      </c>
      <c r="E17" s="22">
        <v>13.713469387755103</v>
      </c>
      <c r="F17" s="22"/>
      <c r="G17" s="22">
        <v>13.713469387755103</v>
      </c>
      <c r="H17" s="22">
        <v>13.713469387755103</v>
      </c>
      <c r="I17" s="22">
        <v>0</v>
      </c>
      <c r="J17" s="23"/>
    </row>
    <row r="18" spans="1:12" s="20" customFormat="1" ht="20.399999999999999" customHeight="1" x14ac:dyDescent="0.3">
      <c r="A18" s="58"/>
      <c r="B18" s="65"/>
      <c r="C18" s="66"/>
      <c r="D18" s="37"/>
      <c r="E18" s="22"/>
      <c r="F18" s="22"/>
      <c r="G18" s="22"/>
      <c r="H18" s="22"/>
      <c r="I18" s="22"/>
      <c r="J18" s="23"/>
    </row>
    <row r="19" spans="1:12" s="20" customFormat="1" ht="16.05" customHeight="1" x14ac:dyDescent="0.3">
      <c r="A19" s="21"/>
      <c r="B19" s="63"/>
      <c r="C19" s="60"/>
      <c r="D19" s="37"/>
      <c r="E19" s="22"/>
      <c r="F19" s="22"/>
      <c r="G19" s="22"/>
      <c r="H19" s="22"/>
      <c r="I19" s="22"/>
      <c r="J19" s="23"/>
      <c r="L19" s="48"/>
    </row>
    <row r="20" spans="1:12" s="20" customFormat="1" ht="16.05" customHeight="1" x14ac:dyDescent="0.3">
      <c r="A20" s="88"/>
      <c r="B20" s="89"/>
      <c r="C20" s="89"/>
      <c r="D20" s="90"/>
      <c r="E20" s="24">
        <f>SUM(E5:E19)</f>
        <v>242.33469387755102</v>
      </c>
      <c r="F20" s="24">
        <f>SUM(F5:F19)</f>
        <v>0</v>
      </c>
      <c r="G20" s="24">
        <f>SUM(G5:G19)</f>
        <v>242.33469387755102</v>
      </c>
      <c r="H20" s="24">
        <f>SUM(H5:H19)</f>
        <v>242.33469387755102</v>
      </c>
      <c r="I20" s="22">
        <v>0</v>
      </c>
      <c r="J20" s="25"/>
    </row>
    <row r="21" spans="1:12" ht="16.05" customHeight="1" x14ac:dyDescent="0.3">
      <c r="E21" s="23"/>
      <c r="F21" s="23"/>
      <c r="G21" s="23"/>
      <c r="H21" s="22"/>
      <c r="I21" s="23"/>
      <c r="J21" s="23"/>
    </row>
    <row r="22" spans="1:12" ht="16.05" customHeight="1" x14ac:dyDescent="0.3">
      <c r="E22" s="23"/>
      <c r="F22" s="23"/>
      <c r="G22" s="23"/>
      <c r="H22" s="24"/>
      <c r="I22" s="23"/>
      <c r="J22" s="23"/>
    </row>
    <row r="23" spans="1:12" ht="16.05" customHeight="1" x14ac:dyDescent="0.3">
      <c r="H23" s="23"/>
    </row>
    <row r="24" spans="1:12" ht="16.05" customHeight="1" x14ac:dyDescent="0.3">
      <c r="H24" s="23"/>
    </row>
  </sheetData>
  <mergeCells count="7">
    <mergeCell ref="A1:I1"/>
    <mergeCell ref="A2:I2"/>
    <mergeCell ref="A20:D20"/>
    <mergeCell ref="C5:C11"/>
    <mergeCell ref="B5:B11"/>
    <mergeCell ref="C12:C17"/>
    <mergeCell ref="B12:B17"/>
  </mergeCells>
  <pageMargins left="0.16" right="0.13" top="0.5" bottom="0.37" header="0.3" footer="0.2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F23"/>
  <sheetViews>
    <sheetView showGridLines="0" zoomScaleNormal="100" workbookViewId="0">
      <pane xSplit="6" ySplit="3" topLeftCell="G4" activePane="bottomRight" state="frozen"/>
      <selection activeCell="A173" sqref="A173"/>
      <selection pane="topRight" activeCell="A173" sqref="A173"/>
      <selection pane="bottomLeft" activeCell="A173" sqref="A173"/>
      <selection pane="bottomRight" activeCell="K14" sqref="K14"/>
    </sheetView>
  </sheetViews>
  <sheetFormatPr defaultColWidth="8.88671875" defaultRowHeight="14.4" x14ac:dyDescent="0.3"/>
  <cols>
    <col min="1" max="1" width="4.5546875" style="3" customWidth="1"/>
    <col min="2" max="2" width="24.21875" style="1" customWidth="1"/>
    <col min="3" max="3" width="14.109375" style="1" customWidth="1"/>
    <col min="4" max="4" width="8.5546875" style="1" customWidth="1"/>
    <col min="5" max="5" width="7.6640625" style="3" customWidth="1"/>
    <col min="6" max="6" width="5.88671875" style="1" customWidth="1"/>
    <col min="7" max="7" width="8.44140625" style="4" bestFit="1" customWidth="1"/>
    <col min="8" max="9" width="8.44140625" style="1" bestFit="1" customWidth="1"/>
    <col min="10" max="11" width="9.44140625" style="1" bestFit="1" customWidth="1"/>
    <col min="12" max="12" width="9.21875" style="1" bestFit="1" customWidth="1"/>
    <col min="13" max="14" width="9.33203125" style="1" bestFit="1" customWidth="1"/>
    <col min="15" max="19" width="9.44140625" style="1" bestFit="1" customWidth="1"/>
    <col min="20" max="21" width="9.21875" style="1" bestFit="1" customWidth="1"/>
    <col min="22" max="22" width="9" style="1" bestFit="1" customWidth="1"/>
    <col min="23" max="24" width="9.109375" style="1" bestFit="1" customWidth="1"/>
    <col min="25" max="29" width="9.21875" style="1" bestFit="1" customWidth="1"/>
    <col min="30" max="31" width="9.33203125" style="1" bestFit="1" customWidth="1"/>
    <col min="32" max="16384" width="8.88671875" style="1"/>
  </cols>
  <sheetData>
    <row r="1" spans="1:32" s="10" customFormat="1" ht="39" customHeight="1" x14ac:dyDescent="0.3">
      <c r="A1" s="95" t="s">
        <v>113</v>
      </c>
      <c r="B1" s="96"/>
      <c r="C1" s="96"/>
      <c r="D1" s="96"/>
      <c r="E1" s="96"/>
      <c r="F1" s="96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</row>
    <row r="2" spans="1:32" s="2" customFormat="1" ht="23.25" customHeight="1" x14ac:dyDescent="0.3">
      <c r="A2" s="78" t="s">
        <v>0</v>
      </c>
      <c r="B2" s="78" t="s">
        <v>1</v>
      </c>
      <c r="C2" s="78" t="s">
        <v>15</v>
      </c>
      <c r="D2" s="99" t="s">
        <v>18</v>
      </c>
      <c r="E2" s="98" t="s">
        <v>19</v>
      </c>
      <c r="F2" s="98" t="s">
        <v>16</v>
      </c>
      <c r="G2" s="78"/>
      <c r="H2" s="78"/>
      <c r="I2" s="78"/>
      <c r="J2" s="78"/>
      <c r="K2" s="78"/>
      <c r="L2" s="78"/>
      <c r="M2" s="78"/>
      <c r="N2" s="78"/>
      <c r="O2" s="78"/>
      <c r="P2" s="68" t="s">
        <v>17</v>
      </c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</row>
    <row r="3" spans="1:32" s="2" customFormat="1" ht="23.25" customHeight="1" x14ac:dyDescent="0.3">
      <c r="A3" s="78"/>
      <c r="B3" s="78"/>
      <c r="C3" s="78"/>
      <c r="D3" s="100"/>
      <c r="E3" s="98"/>
      <c r="F3" s="98"/>
      <c r="G3" s="62">
        <v>46302</v>
      </c>
      <c r="H3" s="62">
        <v>46303</v>
      </c>
      <c r="I3" s="62">
        <v>46304</v>
      </c>
      <c r="J3" s="62">
        <v>46305</v>
      </c>
      <c r="K3" s="62">
        <v>46306</v>
      </c>
      <c r="L3" s="62">
        <v>46307</v>
      </c>
      <c r="M3" s="62">
        <v>46308</v>
      </c>
      <c r="N3" s="62">
        <v>46309</v>
      </c>
      <c r="O3" s="62">
        <v>46310</v>
      </c>
      <c r="P3" s="62">
        <v>46311</v>
      </c>
      <c r="Q3" s="62">
        <v>46312</v>
      </c>
      <c r="R3" s="62">
        <v>46313</v>
      </c>
      <c r="S3" s="62">
        <v>46314</v>
      </c>
      <c r="T3" s="62">
        <v>46315</v>
      </c>
      <c r="U3" s="62">
        <v>46316</v>
      </c>
      <c r="V3" s="62">
        <v>46317</v>
      </c>
      <c r="W3" s="62">
        <v>46318</v>
      </c>
      <c r="X3" s="62">
        <v>46319</v>
      </c>
      <c r="Y3" s="62">
        <v>46320</v>
      </c>
      <c r="Z3" s="62">
        <v>46321</v>
      </c>
      <c r="AA3" s="62">
        <v>46322</v>
      </c>
      <c r="AB3" s="62">
        <v>46323</v>
      </c>
      <c r="AC3" s="62">
        <v>46324</v>
      </c>
      <c r="AD3" s="62">
        <v>46325</v>
      </c>
      <c r="AE3" s="62">
        <v>46326</v>
      </c>
    </row>
    <row r="4" spans="1:32" ht="17.399999999999999" customHeight="1" x14ac:dyDescent="0.3">
      <c r="A4" s="56">
        <v>1</v>
      </c>
      <c r="B4" s="37" t="s">
        <v>121</v>
      </c>
      <c r="C4" s="5" t="s">
        <v>115</v>
      </c>
      <c r="D4" s="67" t="s">
        <v>116</v>
      </c>
      <c r="E4" s="56"/>
      <c r="F4" s="56"/>
      <c r="G4" s="22">
        <v>39.965714285714284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"/>
    </row>
    <row r="5" spans="1:32" ht="17.399999999999999" customHeight="1" x14ac:dyDescent="0.3">
      <c r="A5" s="56">
        <v>2</v>
      </c>
      <c r="B5" s="37" t="s">
        <v>122</v>
      </c>
      <c r="C5" s="5" t="s">
        <v>111</v>
      </c>
      <c r="D5" s="67" t="s">
        <v>111</v>
      </c>
      <c r="E5" s="56"/>
      <c r="F5" s="56"/>
      <c r="G5" s="22">
        <v>1.1902040816326531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"/>
    </row>
    <row r="6" spans="1:32" ht="17.399999999999999" customHeight="1" x14ac:dyDescent="0.3">
      <c r="A6" s="56">
        <v>3</v>
      </c>
      <c r="B6" s="37" t="s">
        <v>123</v>
      </c>
      <c r="C6" s="5" t="s">
        <v>111</v>
      </c>
      <c r="D6" s="67" t="s">
        <v>111</v>
      </c>
      <c r="E6" s="56"/>
      <c r="F6" s="56"/>
      <c r="G6" s="22">
        <v>1.4106122448979592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"/>
    </row>
    <row r="7" spans="1:32" ht="17.399999999999999" customHeight="1" x14ac:dyDescent="0.3">
      <c r="A7" s="56">
        <v>4</v>
      </c>
      <c r="B7" s="37" t="s">
        <v>124</v>
      </c>
      <c r="C7" s="5" t="s">
        <v>117</v>
      </c>
      <c r="D7" s="67" t="s">
        <v>138</v>
      </c>
      <c r="E7" s="56"/>
      <c r="F7" s="56"/>
      <c r="G7" s="22">
        <v>20.035918367346937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"/>
    </row>
    <row r="8" spans="1:32" ht="17.399999999999999" customHeight="1" x14ac:dyDescent="0.3">
      <c r="A8" s="56">
        <v>5</v>
      </c>
      <c r="B8" s="37" t="s">
        <v>125</v>
      </c>
      <c r="C8" s="5" t="s">
        <v>117</v>
      </c>
      <c r="D8" s="67" t="s">
        <v>119</v>
      </c>
      <c r="E8" s="56"/>
      <c r="F8" s="56"/>
      <c r="G8" s="22">
        <v>10.885714285714286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"/>
    </row>
    <row r="9" spans="1:32" ht="17.399999999999999" customHeight="1" x14ac:dyDescent="0.3">
      <c r="A9" s="56">
        <v>6</v>
      </c>
      <c r="B9" s="37" t="s">
        <v>126</v>
      </c>
      <c r="C9" s="5" t="s">
        <v>117</v>
      </c>
      <c r="D9" s="67" t="s">
        <v>139</v>
      </c>
      <c r="E9" s="56"/>
      <c r="F9" s="56"/>
      <c r="G9" s="22">
        <v>11.617142857142857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"/>
    </row>
    <row r="10" spans="1:32" ht="17.399999999999999" customHeight="1" x14ac:dyDescent="0.3">
      <c r="A10" s="56">
        <v>7</v>
      </c>
      <c r="B10" s="37" t="s">
        <v>127</v>
      </c>
      <c r="C10" s="5" t="s">
        <v>117</v>
      </c>
      <c r="D10" s="67" t="s">
        <v>118</v>
      </c>
      <c r="E10" s="56"/>
      <c r="F10" s="56"/>
      <c r="G10" s="22">
        <v>8.3265306122448983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"/>
    </row>
    <row r="11" spans="1:32" ht="17.399999999999999" customHeight="1" x14ac:dyDescent="0.3">
      <c r="A11" s="56">
        <v>8</v>
      </c>
      <c r="B11" s="37" t="s">
        <v>141</v>
      </c>
      <c r="C11" s="5" t="s">
        <v>117</v>
      </c>
      <c r="D11" s="67" t="s">
        <v>119</v>
      </c>
      <c r="E11" s="56"/>
      <c r="F11" s="56"/>
      <c r="G11" s="22">
        <v>0</v>
      </c>
      <c r="H11" s="22">
        <v>0</v>
      </c>
      <c r="I11" s="22">
        <v>0</v>
      </c>
      <c r="J11" s="22">
        <v>39.000816326530611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"/>
    </row>
    <row r="12" spans="1:32" ht="17.399999999999999" customHeight="1" x14ac:dyDescent="0.3">
      <c r="A12" s="56">
        <v>9</v>
      </c>
      <c r="B12" s="37" t="s">
        <v>142</v>
      </c>
      <c r="C12" s="5" t="s">
        <v>117</v>
      </c>
      <c r="D12" s="67" t="s">
        <v>138</v>
      </c>
      <c r="E12" s="56"/>
      <c r="F12" s="56"/>
      <c r="G12" s="22">
        <v>0</v>
      </c>
      <c r="H12" s="22">
        <v>0</v>
      </c>
      <c r="I12" s="22">
        <v>0</v>
      </c>
      <c r="J12" s="22">
        <v>40.714285714285715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"/>
    </row>
    <row r="13" spans="1:32" ht="17.399999999999999" customHeight="1" x14ac:dyDescent="0.3">
      <c r="A13" s="56">
        <v>10</v>
      </c>
      <c r="B13" s="37" t="s">
        <v>143</v>
      </c>
      <c r="C13" s="5" t="s">
        <v>117</v>
      </c>
      <c r="D13" s="67" t="s">
        <v>118</v>
      </c>
      <c r="E13" s="56"/>
      <c r="F13" s="56"/>
      <c r="G13" s="22">
        <v>0</v>
      </c>
      <c r="H13" s="22">
        <v>0</v>
      </c>
      <c r="I13" s="22">
        <v>0</v>
      </c>
      <c r="J13" s="22">
        <v>13.776326530612245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"/>
    </row>
    <row r="14" spans="1:32" ht="17.399999999999999" customHeight="1" x14ac:dyDescent="0.3">
      <c r="A14" s="56">
        <v>11</v>
      </c>
      <c r="B14" s="37" t="s">
        <v>144</v>
      </c>
      <c r="C14" s="5" t="s">
        <v>115</v>
      </c>
      <c r="D14" s="67" t="s">
        <v>116</v>
      </c>
      <c r="E14" s="56"/>
      <c r="F14" s="56"/>
      <c r="G14" s="22">
        <v>0</v>
      </c>
      <c r="H14" s="22">
        <v>0</v>
      </c>
      <c r="I14" s="22">
        <v>0</v>
      </c>
      <c r="J14" s="22">
        <v>31.736326530612246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"/>
    </row>
    <row r="15" spans="1:32" ht="17.399999999999999" customHeight="1" x14ac:dyDescent="0.3">
      <c r="A15" s="56">
        <v>12</v>
      </c>
      <c r="B15" s="37" t="s">
        <v>145</v>
      </c>
      <c r="C15" s="5" t="s">
        <v>111</v>
      </c>
      <c r="D15" s="5" t="s">
        <v>111</v>
      </c>
      <c r="E15" s="56"/>
      <c r="F15" s="56"/>
      <c r="G15" s="22">
        <v>0</v>
      </c>
      <c r="H15" s="22">
        <v>0</v>
      </c>
      <c r="I15" s="22">
        <v>0</v>
      </c>
      <c r="J15" s="22">
        <v>9.9616326530612245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"/>
    </row>
    <row r="16" spans="1:32" ht="17.399999999999999" customHeight="1" x14ac:dyDescent="0.3">
      <c r="A16" s="56">
        <v>13</v>
      </c>
      <c r="B16" s="37" t="s">
        <v>146</v>
      </c>
      <c r="C16" s="5" t="s">
        <v>111</v>
      </c>
      <c r="D16" s="5" t="s">
        <v>111</v>
      </c>
      <c r="E16" s="56"/>
      <c r="F16" s="56"/>
      <c r="G16" s="22">
        <v>0</v>
      </c>
      <c r="H16" s="22">
        <v>0</v>
      </c>
      <c r="I16" s="22">
        <v>0</v>
      </c>
      <c r="J16" s="22">
        <v>13.713469387755103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"/>
    </row>
    <row r="17" spans="1:32" ht="17.399999999999999" customHeight="1" x14ac:dyDescent="0.3">
      <c r="A17" s="56"/>
      <c r="B17" s="37"/>
      <c r="C17" s="5"/>
      <c r="D17" s="56"/>
      <c r="E17" s="56"/>
      <c r="F17" s="56"/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"/>
    </row>
    <row r="18" spans="1:32" ht="16.95" customHeight="1" x14ac:dyDescent="0.3">
      <c r="A18" s="56"/>
      <c r="B18" s="5"/>
      <c r="C18" s="5"/>
      <c r="D18" s="56"/>
      <c r="E18" s="6"/>
      <c r="F18" s="6"/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</row>
    <row r="19" spans="1:32" ht="16.95" customHeight="1" x14ac:dyDescent="0.3">
      <c r="A19" s="52"/>
      <c r="B19" s="7"/>
      <c r="C19" s="5"/>
      <c r="D19" s="56"/>
      <c r="E19" s="6"/>
      <c r="F19" s="6"/>
      <c r="G19" s="8">
        <f t="shared" ref="G19:L19" si="0">SUM(G4:G18)</f>
        <v>93.431836734693874</v>
      </c>
      <c r="H19" s="8">
        <f t="shared" si="0"/>
        <v>0</v>
      </c>
      <c r="I19" s="8">
        <f t="shared" si="0"/>
        <v>0</v>
      </c>
      <c r="J19" s="8">
        <f t="shared" si="0"/>
        <v>148.90285714285716</v>
      </c>
      <c r="K19" s="8">
        <f t="shared" si="0"/>
        <v>0</v>
      </c>
      <c r="L19" s="8">
        <f t="shared" si="0"/>
        <v>0</v>
      </c>
      <c r="M19" s="22">
        <v>0</v>
      </c>
      <c r="N19" s="22">
        <f t="shared" ref="N19:AE19" si="1">SUM(N4:N18)</f>
        <v>0</v>
      </c>
      <c r="O19" s="8">
        <f t="shared" si="1"/>
        <v>0</v>
      </c>
      <c r="P19" s="8">
        <f t="shared" si="1"/>
        <v>0</v>
      </c>
      <c r="Q19" s="8">
        <f t="shared" si="1"/>
        <v>0</v>
      </c>
      <c r="R19" s="8">
        <f t="shared" si="1"/>
        <v>0</v>
      </c>
      <c r="S19" s="8">
        <f t="shared" si="1"/>
        <v>0</v>
      </c>
      <c r="T19" s="8">
        <f t="shared" si="1"/>
        <v>0</v>
      </c>
      <c r="U19" s="8">
        <f t="shared" si="1"/>
        <v>0</v>
      </c>
      <c r="V19" s="8">
        <f t="shared" si="1"/>
        <v>0</v>
      </c>
      <c r="W19" s="8">
        <f t="shared" si="1"/>
        <v>0</v>
      </c>
      <c r="X19" s="8">
        <f t="shared" si="1"/>
        <v>0</v>
      </c>
      <c r="Y19" s="8">
        <f t="shared" si="1"/>
        <v>0</v>
      </c>
      <c r="Z19" s="8">
        <f t="shared" si="1"/>
        <v>0</v>
      </c>
      <c r="AA19" s="8">
        <f t="shared" si="1"/>
        <v>0</v>
      </c>
      <c r="AB19" s="8">
        <f t="shared" si="1"/>
        <v>0</v>
      </c>
      <c r="AC19" s="8">
        <f t="shared" si="1"/>
        <v>0</v>
      </c>
      <c r="AD19" s="8">
        <f t="shared" si="1"/>
        <v>0</v>
      </c>
      <c r="AE19" s="8">
        <f t="shared" si="1"/>
        <v>0</v>
      </c>
    </row>
    <row r="20" spans="1:32" x14ac:dyDescent="0.3">
      <c r="A20" s="53"/>
    </row>
    <row r="21" spans="1:32" x14ac:dyDescent="0.3">
      <c r="A21" s="53"/>
    </row>
    <row r="22" spans="1:32" x14ac:dyDescent="0.3">
      <c r="A22" s="53"/>
    </row>
    <row r="23" spans="1:32" x14ac:dyDescent="0.3">
      <c r="A23" s="53"/>
    </row>
  </sheetData>
  <sortState xmlns:xlrd2="http://schemas.microsoft.com/office/spreadsheetml/2017/richdata2" ref="B585:AE661">
    <sortCondition ref="B585"/>
  </sortState>
  <mergeCells count="10">
    <mergeCell ref="A1:F1"/>
    <mergeCell ref="G1:AE1"/>
    <mergeCell ref="G2:O2"/>
    <mergeCell ref="P2:AE2"/>
    <mergeCell ref="F2:F3"/>
    <mergeCell ref="A2:A3"/>
    <mergeCell ref="B2:B3"/>
    <mergeCell ref="C2:C3"/>
    <mergeCell ref="D2:D3"/>
    <mergeCell ref="E2:E3"/>
  </mergeCells>
  <phoneticPr fontId="14" type="noConversion"/>
  <pageMargins left="0.11811023622047245" right="0.11811023622047245" top="0.11811023622047245" bottom="0.11811023622047245" header="0.11811023622047245" footer="0.11811023622047245"/>
  <pageSetup paperSize="5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CG42"/>
  <sheetViews>
    <sheetView showGridLines="0" zoomScale="85" zoomScaleNormal="85" workbookViewId="0">
      <pane xSplit="4" ySplit="4" topLeftCell="BG5" activePane="bottomRight" state="frozen"/>
      <selection pane="topRight" activeCell="E1" sqref="E1"/>
      <selection pane="bottomLeft" activeCell="A5" sqref="A5"/>
      <selection pane="bottomRight" activeCell="BK13" sqref="BK13"/>
    </sheetView>
  </sheetViews>
  <sheetFormatPr defaultColWidth="9.109375" defaultRowHeight="17.100000000000001" customHeight="1" x14ac:dyDescent="0.3"/>
  <cols>
    <col min="1" max="1" width="5.21875" style="18" customWidth="1"/>
    <col min="2" max="2" width="5.109375" style="32" customWidth="1"/>
    <col min="3" max="3" width="35.109375" style="18" customWidth="1"/>
    <col min="4" max="4" width="17.6640625" style="40" customWidth="1"/>
    <col min="5" max="10" width="4.88671875" style="40" bestFit="1" customWidth="1"/>
    <col min="11" max="11" width="6.6640625" style="40" bestFit="1" customWidth="1"/>
    <col min="12" max="12" width="4.88671875" style="40" bestFit="1" customWidth="1"/>
    <col min="13" max="13" width="10.44140625" style="40" bestFit="1" customWidth="1"/>
    <col min="14" max="15" width="7.21875" style="40" bestFit="1" customWidth="1"/>
    <col min="16" max="17" width="10.44140625" style="40" bestFit="1" customWidth="1"/>
    <col min="18" max="18" width="7.21875" style="40" bestFit="1" customWidth="1"/>
    <col min="19" max="19" width="6.6640625" style="40" bestFit="1" customWidth="1"/>
    <col min="20" max="20" width="5.6640625" style="40" bestFit="1" customWidth="1"/>
    <col min="21" max="24" width="4.88671875" style="40" bestFit="1" customWidth="1"/>
    <col min="25" max="25" width="10" style="18" bestFit="1" customWidth="1"/>
    <col min="26" max="26" width="4.88671875" style="18" bestFit="1" customWidth="1"/>
    <col min="27" max="27" width="6.6640625" style="18" bestFit="1" customWidth="1"/>
    <col min="28" max="28" width="7.5546875" style="18" bestFit="1" customWidth="1"/>
    <col min="29" max="34" width="4.88671875" style="18" bestFit="1" customWidth="1"/>
    <col min="35" max="35" width="5.6640625" style="18" bestFit="1" customWidth="1"/>
    <col min="36" max="36" width="6.6640625" style="18" bestFit="1" customWidth="1"/>
    <col min="37" max="37" width="4.88671875" style="18" bestFit="1" customWidth="1"/>
    <col min="38" max="38" width="10" style="18" bestFit="1" customWidth="1"/>
    <col min="39" max="41" width="4.88671875" style="18" bestFit="1" customWidth="1"/>
    <col min="42" max="42" width="9" style="18" bestFit="1" customWidth="1"/>
    <col min="43" max="43" width="4.88671875" style="18" bestFit="1" customWidth="1"/>
    <col min="44" max="44" width="6.6640625" style="18" bestFit="1" customWidth="1"/>
    <col min="45" max="47" width="4.88671875" style="18" bestFit="1" customWidth="1"/>
    <col min="48" max="49" width="9" style="18" bestFit="1" customWidth="1"/>
    <col min="50" max="53" width="4.88671875" style="18" bestFit="1" customWidth="1"/>
    <col min="54" max="54" width="7.5546875" style="18" bestFit="1" customWidth="1"/>
    <col min="55" max="57" width="4.88671875" style="18" bestFit="1" customWidth="1"/>
    <col min="58" max="58" width="6.6640625" style="18" bestFit="1" customWidth="1"/>
    <col min="59" max="59" width="7.33203125" style="18" bestFit="1" customWidth="1"/>
    <col min="60" max="78" width="4.88671875" style="18" bestFit="1" customWidth="1"/>
    <col min="79" max="79" width="7.5546875" style="18" bestFit="1" customWidth="1"/>
    <col min="80" max="80" width="6.6640625" style="18" bestFit="1" customWidth="1"/>
    <col min="81" max="82" width="7.5546875" style="18" bestFit="1" customWidth="1"/>
    <col min="83" max="83" width="9" style="18" bestFit="1" customWidth="1"/>
    <col min="84" max="84" width="5.6640625" style="18" bestFit="1" customWidth="1"/>
    <col min="85" max="85" width="18.77734375" style="18" customWidth="1"/>
    <col min="86" max="16384" width="9.109375" style="38"/>
  </cols>
  <sheetData>
    <row r="1" spans="1:85" s="14" customFormat="1" ht="22.8" x14ac:dyDescent="0.3">
      <c r="A1" s="101" t="s">
        <v>109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</row>
    <row r="2" spans="1:85" s="14" customFormat="1" ht="19.2" customHeight="1" x14ac:dyDescent="0.3">
      <c r="A2" s="108" t="s">
        <v>120</v>
      </c>
      <c r="B2" s="108"/>
      <c r="C2" s="108"/>
      <c r="D2" s="108"/>
      <c r="E2" s="109" t="s">
        <v>104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  <c r="CD2" s="109"/>
      <c r="CE2" s="109"/>
      <c r="CF2" s="109"/>
      <c r="CG2" s="109"/>
    </row>
    <row r="3" spans="1:85" s="14" customFormat="1" ht="54" customHeight="1" x14ac:dyDescent="0.3">
      <c r="A3" s="102" t="s">
        <v>0</v>
      </c>
      <c r="B3" s="110" t="s">
        <v>105</v>
      </c>
      <c r="C3" s="102" t="s">
        <v>25</v>
      </c>
      <c r="D3" s="104" t="s">
        <v>18</v>
      </c>
      <c r="E3" s="11" t="s">
        <v>26</v>
      </c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1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38</v>
      </c>
      <c r="R3" s="12" t="s">
        <v>39</v>
      </c>
      <c r="S3" s="11" t="s">
        <v>40</v>
      </c>
      <c r="T3" s="11" t="s">
        <v>41</v>
      </c>
      <c r="U3" s="11" t="s">
        <v>42</v>
      </c>
      <c r="V3" s="11" t="s">
        <v>43</v>
      </c>
      <c r="W3" s="11" t="s">
        <v>44</v>
      </c>
      <c r="X3" s="11" t="s">
        <v>45</v>
      </c>
      <c r="Y3" s="11" t="s">
        <v>107</v>
      </c>
      <c r="Z3" s="11" t="s">
        <v>46</v>
      </c>
      <c r="AA3" s="11" t="s">
        <v>47</v>
      </c>
      <c r="AB3" s="11" t="s">
        <v>106</v>
      </c>
      <c r="AC3" s="11" t="s">
        <v>48</v>
      </c>
      <c r="AD3" s="11" t="s">
        <v>49</v>
      </c>
      <c r="AE3" s="11" t="s">
        <v>50</v>
      </c>
      <c r="AF3" s="11" t="s">
        <v>51</v>
      </c>
      <c r="AG3" s="11" t="s">
        <v>52</v>
      </c>
      <c r="AH3" s="11" t="s">
        <v>53</v>
      </c>
      <c r="AI3" s="11" t="s">
        <v>54</v>
      </c>
      <c r="AJ3" s="11" t="s">
        <v>55</v>
      </c>
      <c r="AK3" s="11" t="s">
        <v>56</v>
      </c>
      <c r="AL3" s="11" t="s">
        <v>57</v>
      </c>
      <c r="AM3" s="13" t="s">
        <v>58</v>
      </c>
      <c r="AN3" s="11" t="s">
        <v>59</v>
      </c>
      <c r="AO3" s="11" t="s">
        <v>60</v>
      </c>
      <c r="AP3" s="11" t="s">
        <v>61</v>
      </c>
      <c r="AQ3" s="11" t="s">
        <v>62</v>
      </c>
      <c r="AR3" s="11" t="s">
        <v>63</v>
      </c>
      <c r="AS3" s="11" t="s">
        <v>64</v>
      </c>
      <c r="AT3" s="11" t="s">
        <v>65</v>
      </c>
      <c r="AU3" s="11" t="s">
        <v>66</v>
      </c>
      <c r="AV3" s="11" t="s">
        <v>67</v>
      </c>
      <c r="AW3" s="11" t="s">
        <v>68</v>
      </c>
      <c r="AX3" s="11" t="s">
        <v>69</v>
      </c>
      <c r="AY3" s="11" t="s">
        <v>70</v>
      </c>
      <c r="AZ3" s="11" t="s">
        <v>71</v>
      </c>
      <c r="BA3" s="11" t="s">
        <v>72</v>
      </c>
      <c r="BB3" s="11" t="s">
        <v>73</v>
      </c>
      <c r="BC3" s="11" t="s">
        <v>74</v>
      </c>
      <c r="BD3" s="11" t="s">
        <v>75</v>
      </c>
      <c r="BE3" s="11" t="s">
        <v>76</v>
      </c>
      <c r="BF3" s="11" t="s">
        <v>77</v>
      </c>
      <c r="BG3" s="11" t="s">
        <v>78</v>
      </c>
      <c r="BH3" s="11" t="s">
        <v>79</v>
      </c>
      <c r="BI3" s="11" t="s">
        <v>80</v>
      </c>
      <c r="BJ3" s="11" t="s">
        <v>81</v>
      </c>
      <c r="BK3" s="11" t="s">
        <v>82</v>
      </c>
      <c r="BL3" s="11" t="s">
        <v>83</v>
      </c>
      <c r="BM3" s="11" t="s">
        <v>84</v>
      </c>
      <c r="BN3" s="11" t="s">
        <v>85</v>
      </c>
      <c r="BO3" s="11" t="s">
        <v>86</v>
      </c>
      <c r="BP3" s="11" t="s">
        <v>87</v>
      </c>
      <c r="BQ3" s="11" t="s">
        <v>88</v>
      </c>
      <c r="BR3" s="11" t="s">
        <v>89</v>
      </c>
      <c r="BS3" s="11" t="s">
        <v>90</v>
      </c>
      <c r="BT3" s="11" t="s">
        <v>91</v>
      </c>
      <c r="BU3" s="11" t="s">
        <v>92</v>
      </c>
      <c r="BV3" s="11" t="s">
        <v>93</v>
      </c>
      <c r="BW3" s="11" t="s">
        <v>94</v>
      </c>
      <c r="BX3" s="11" t="s">
        <v>95</v>
      </c>
      <c r="BY3" s="11" t="s">
        <v>96</v>
      </c>
      <c r="BZ3" s="11" t="s">
        <v>80</v>
      </c>
      <c r="CA3" s="11" t="s">
        <v>97</v>
      </c>
      <c r="CB3" s="11" t="s">
        <v>98</v>
      </c>
      <c r="CC3" s="11" t="s">
        <v>99</v>
      </c>
      <c r="CD3" s="11" t="s">
        <v>100</v>
      </c>
      <c r="CE3" s="11" t="s">
        <v>101</v>
      </c>
      <c r="CF3" s="11" t="s">
        <v>102</v>
      </c>
      <c r="CG3" s="106" t="s">
        <v>103</v>
      </c>
    </row>
    <row r="4" spans="1:85" s="14" customFormat="1" ht="16.8" customHeight="1" x14ac:dyDescent="0.3">
      <c r="A4" s="103"/>
      <c r="B4" s="111"/>
      <c r="C4" s="103"/>
      <c r="D4" s="105"/>
      <c r="E4" s="15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5">
        <v>31</v>
      </c>
      <c r="AJ4" s="15">
        <v>32</v>
      </c>
      <c r="AK4" s="15">
        <v>33</v>
      </c>
      <c r="AL4" s="15">
        <v>34</v>
      </c>
      <c r="AM4" s="15">
        <v>35</v>
      </c>
      <c r="AN4" s="15">
        <v>36</v>
      </c>
      <c r="AO4" s="15">
        <v>37</v>
      </c>
      <c r="AP4" s="15">
        <v>38</v>
      </c>
      <c r="AQ4" s="15">
        <v>39</v>
      </c>
      <c r="AR4" s="15">
        <v>40</v>
      </c>
      <c r="AS4" s="15">
        <v>41</v>
      </c>
      <c r="AT4" s="15">
        <v>42</v>
      </c>
      <c r="AU4" s="15">
        <v>43</v>
      </c>
      <c r="AV4" s="15">
        <v>44</v>
      </c>
      <c r="AW4" s="15">
        <v>45</v>
      </c>
      <c r="AX4" s="15">
        <v>46</v>
      </c>
      <c r="AY4" s="15">
        <v>47</v>
      </c>
      <c r="AZ4" s="15">
        <v>48</v>
      </c>
      <c r="BA4" s="15">
        <v>49</v>
      </c>
      <c r="BB4" s="15">
        <v>50</v>
      </c>
      <c r="BC4" s="15">
        <v>51</v>
      </c>
      <c r="BD4" s="15">
        <v>52</v>
      </c>
      <c r="BE4" s="15">
        <v>53</v>
      </c>
      <c r="BF4" s="15">
        <v>54</v>
      </c>
      <c r="BG4" s="15">
        <v>55</v>
      </c>
      <c r="BH4" s="15">
        <v>56</v>
      </c>
      <c r="BI4" s="15">
        <v>57</v>
      </c>
      <c r="BJ4" s="15">
        <v>58</v>
      </c>
      <c r="BK4" s="15">
        <v>59</v>
      </c>
      <c r="BL4" s="15">
        <v>60</v>
      </c>
      <c r="BM4" s="15">
        <v>61</v>
      </c>
      <c r="BN4" s="15">
        <v>62</v>
      </c>
      <c r="BO4" s="15">
        <v>63</v>
      </c>
      <c r="BP4" s="15">
        <v>64</v>
      </c>
      <c r="BQ4" s="15">
        <v>65</v>
      </c>
      <c r="BR4" s="15">
        <v>66</v>
      </c>
      <c r="BS4" s="15">
        <v>67</v>
      </c>
      <c r="BT4" s="15">
        <v>68</v>
      </c>
      <c r="BU4" s="15">
        <v>69</v>
      </c>
      <c r="BV4" s="15">
        <v>70</v>
      </c>
      <c r="BW4" s="15">
        <v>71</v>
      </c>
      <c r="BX4" s="15">
        <v>72</v>
      </c>
      <c r="BY4" s="15">
        <v>73</v>
      </c>
      <c r="BZ4" s="15">
        <v>74</v>
      </c>
      <c r="CA4" s="15">
        <v>75</v>
      </c>
      <c r="CB4" s="15">
        <v>76</v>
      </c>
      <c r="CC4" s="15">
        <v>77</v>
      </c>
      <c r="CD4" s="15">
        <v>78</v>
      </c>
      <c r="CE4" s="15">
        <v>79</v>
      </c>
      <c r="CF4" s="15">
        <v>80</v>
      </c>
      <c r="CG4" s="107"/>
    </row>
    <row r="5" spans="1:85" s="14" customFormat="1" ht="20.399999999999999" customHeight="1" x14ac:dyDescent="0.3">
      <c r="A5" s="64">
        <v>1</v>
      </c>
      <c r="B5" s="112" t="s">
        <v>128</v>
      </c>
      <c r="C5" s="59" t="s">
        <v>121</v>
      </c>
      <c r="D5" s="118" t="s">
        <v>116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12.5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7.5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317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12.5</v>
      </c>
      <c r="AK5" s="17">
        <v>0</v>
      </c>
      <c r="AL5" s="17">
        <v>22027.5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34</v>
      </c>
      <c r="AS5" s="17">
        <v>0</v>
      </c>
      <c r="AT5" s="17">
        <v>0</v>
      </c>
      <c r="AU5" s="17">
        <v>0</v>
      </c>
      <c r="AV5" s="17">
        <v>71.5</v>
      </c>
      <c r="AW5" s="17">
        <v>362</v>
      </c>
      <c r="AX5" s="17">
        <v>0</v>
      </c>
      <c r="AY5" s="17">
        <v>0</v>
      </c>
      <c r="AZ5" s="17">
        <v>0</v>
      </c>
      <c r="BA5" s="17">
        <v>0</v>
      </c>
      <c r="BB5" s="17">
        <v>121</v>
      </c>
      <c r="BC5" s="17">
        <v>0</v>
      </c>
      <c r="BD5" s="17">
        <v>0</v>
      </c>
      <c r="BE5" s="17">
        <v>0</v>
      </c>
      <c r="BF5" s="17">
        <v>0</v>
      </c>
      <c r="BG5" s="17">
        <v>75.5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125</v>
      </c>
      <c r="CB5" s="17">
        <v>37</v>
      </c>
      <c r="CC5" s="17">
        <v>80.5</v>
      </c>
      <c r="CD5" s="17">
        <v>158</v>
      </c>
      <c r="CE5" s="17">
        <v>1037.5</v>
      </c>
      <c r="CF5" s="17">
        <v>0</v>
      </c>
      <c r="CG5" s="17">
        <f>SUM(E5:CF5)</f>
        <v>24479</v>
      </c>
    </row>
    <row r="6" spans="1:85" s="14" customFormat="1" ht="20.399999999999999" customHeight="1" x14ac:dyDescent="0.3">
      <c r="A6" s="64">
        <v>2</v>
      </c>
      <c r="B6" s="113"/>
      <c r="C6" s="59" t="s">
        <v>122</v>
      </c>
      <c r="D6" s="118" t="s">
        <v>111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1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1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29.5</v>
      </c>
      <c r="Z6" s="17">
        <v>0</v>
      </c>
      <c r="AA6" s="17">
        <v>61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414.5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55</v>
      </c>
      <c r="AW6" s="17">
        <v>26</v>
      </c>
      <c r="AX6" s="17">
        <v>0</v>
      </c>
      <c r="AY6" s="17">
        <v>0</v>
      </c>
      <c r="AZ6" s="17">
        <v>0</v>
      </c>
      <c r="BA6" s="17">
        <v>0</v>
      </c>
      <c r="BB6" s="17">
        <v>8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49.5</v>
      </c>
      <c r="CB6" s="17">
        <v>24</v>
      </c>
      <c r="CC6" s="17">
        <v>50.5</v>
      </c>
      <c r="CD6" s="17">
        <v>6</v>
      </c>
      <c r="CE6" s="17">
        <v>3</v>
      </c>
      <c r="CF6" s="17">
        <v>0</v>
      </c>
      <c r="CG6" s="17">
        <f t="shared" ref="CG6:CG17" si="0">SUM(E6:CF6)</f>
        <v>729</v>
      </c>
    </row>
    <row r="7" spans="1:85" s="14" customFormat="1" ht="20.399999999999999" customHeight="1" x14ac:dyDescent="0.3">
      <c r="A7" s="64">
        <v>3</v>
      </c>
      <c r="B7" s="113"/>
      <c r="C7" s="59" t="s">
        <v>123</v>
      </c>
      <c r="D7" s="118" t="s">
        <v>111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5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10</v>
      </c>
      <c r="T7" s="17">
        <v>2</v>
      </c>
      <c r="U7" s="17">
        <v>0</v>
      </c>
      <c r="V7" s="17">
        <v>0</v>
      </c>
      <c r="W7" s="17">
        <v>0</v>
      </c>
      <c r="X7" s="17">
        <v>0</v>
      </c>
      <c r="Y7" s="17">
        <v>139</v>
      </c>
      <c r="Z7" s="17">
        <v>0</v>
      </c>
      <c r="AA7" s="17">
        <v>13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388.5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89</v>
      </c>
      <c r="AW7" s="17">
        <v>41.5</v>
      </c>
      <c r="AX7" s="17">
        <v>0</v>
      </c>
      <c r="AY7" s="17">
        <v>0</v>
      </c>
      <c r="AZ7" s="17">
        <v>0</v>
      </c>
      <c r="BA7" s="17">
        <v>0</v>
      </c>
      <c r="BB7" s="17">
        <v>34.5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75.5</v>
      </c>
      <c r="CB7" s="17">
        <v>18</v>
      </c>
      <c r="CC7" s="17">
        <v>21.5</v>
      </c>
      <c r="CD7" s="17">
        <v>6</v>
      </c>
      <c r="CE7" s="17">
        <v>20.5</v>
      </c>
      <c r="CF7" s="17">
        <v>0</v>
      </c>
      <c r="CG7" s="17">
        <f t="shared" si="0"/>
        <v>864</v>
      </c>
    </row>
    <row r="8" spans="1:85" s="14" customFormat="1" ht="20.399999999999999" customHeight="1" x14ac:dyDescent="0.3">
      <c r="A8" s="64">
        <v>4</v>
      </c>
      <c r="B8" s="113"/>
      <c r="C8" s="59" t="s">
        <v>124</v>
      </c>
      <c r="D8" s="118" t="s">
        <v>138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11704</v>
      </c>
      <c r="Z8" s="17">
        <v>0</v>
      </c>
      <c r="AA8" s="17">
        <v>16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3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2</v>
      </c>
      <c r="AS8" s="17">
        <v>0</v>
      </c>
      <c r="AT8" s="17">
        <v>0</v>
      </c>
      <c r="AU8" s="17">
        <v>0</v>
      </c>
      <c r="AV8" s="17">
        <v>48</v>
      </c>
      <c r="AW8" s="17">
        <v>122.5</v>
      </c>
      <c r="AX8" s="17">
        <v>0</v>
      </c>
      <c r="AY8" s="17">
        <v>0</v>
      </c>
      <c r="AZ8" s="17">
        <v>0</v>
      </c>
      <c r="BA8" s="17">
        <v>0</v>
      </c>
      <c r="BB8" s="17">
        <v>13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29.5</v>
      </c>
      <c r="CB8" s="17">
        <v>59</v>
      </c>
      <c r="CC8" s="17">
        <v>211.5</v>
      </c>
      <c r="CD8" s="17">
        <v>0.5</v>
      </c>
      <c r="CE8" s="17">
        <v>63</v>
      </c>
      <c r="CF8" s="17">
        <v>0</v>
      </c>
      <c r="CG8" s="17">
        <f t="shared" si="0"/>
        <v>12272</v>
      </c>
    </row>
    <row r="9" spans="1:85" s="14" customFormat="1" ht="20.399999999999999" customHeight="1" x14ac:dyDescent="0.3">
      <c r="A9" s="64">
        <v>5</v>
      </c>
      <c r="B9" s="113"/>
      <c r="C9" s="59" t="s">
        <v>125</v>
      </c>
      <c r="D9" s="118" t="s">
        <v>119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34.5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28</v>
      </c>
      <c r="T9" s="17">
        <v>4.5</v>
      </c>
      <c r="U9" s="17">
        <v>0</v>
      </c>
      <c r="V9" s="17">
        <v>0</v>
      </c>
      <c r="W9" s="17">
        <v>0</v>
      </c>
      <c r="X9" s="17">
        <v>0</v>
      </c>
      <c r="Y9" s="17">
        <v>579</v>
      </c>
      <c r="Z9" s="17">
        <v>0</v>
      </c>
      <c r="AA9" s="17">
        <v>87.5</v>
      </c>
      <c r="AB9" s="17">
        <v>736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2</v>
      </c>
      <c r="AK9" s="17">
        <v>0</v>
      </c>
      <c r="AL9" s="17">
        <v>342</v>
      </c>
      <c r="AM9" s="17">
        <v>0</v>
      </c>
      <c r="AN9" s="17">
        <v>0</v>
      </c>
      <c r="AO9" s="17">
        <v>0</v>
      </c>
      <c r="AP9" s="17">
        <v>3393</v>
      </c>
      <c r="AQ9" s="17">
        <v>0</v>
      </c>
      <c r="AR9" s="17">
        <v>5</v>
      </c>
      <c r="AS9" s="17">
        <v>0</v>
      </c>
      <c r="AT9" s="17">
        <v>0</v>
      </c>
      <c r="AU9" s="17">
        <v>0</v>
      </c>
      <c r="AV9" s="17">
        <v>359.5</v>
      </c>
      <c r="AW9" s="17">
        <v>758</v>
      </c>
      <c r="AX9" s="17">
        <v>0</v>
      </c>
      <c r="AY9" s="17">
        <v>0</v>
      </c>
      <c r="AZ9" s="17">
        <v>0</v>
      </c>
      <c r="BA9" s="17">
        <v>0</v>
      </c>
      <c r="BB9" s="17">
        <v>57</v>
      </c>
      <c r="BC9" s="17">
        <v>0</v>
      </c>
      <c r="BD9" s="17">
        <v>0</v>
      </c>
      <c r="BE9" s="17">
        <v>0</v>
      </c>
      <c r="BF9" s="17">
        <v>17.5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65</v>
      </c>
      <c r="CB9" s="17">
        <v>4.5</v>
      </c>
      <c r="CC9" s="17">
        <v>153</v>
      </c>
      <c r="CD9" s="17">
        <v>10</v>
      </c>
      <c r="CE9" s="17">
        <v>27.5</v>
      </c>
      <c r="CF9" s="17">
        <v>4</v>
      </c>
      <c r="CG9" s="17">
        <f t="shared" si="0"/>
        <v>6667.5</v>
      </c>
    </row>
    <row r="10" spans="1:85" s="14" customFormat="1" ht="20.399999999999999" customHeight="1" x14ac:dyDescent="0.3">
      <c r="A10" s="64">
        <v>6</v>
      </c>
      <c r="B10" s="113"/>
      <c r="C10" s="59" t="s">
        <v>126</v>
      </c>
      <c r="D10" s="118" t="s">
        <v>139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33.5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37.5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520.5</v>
      </c>
      <c r="Z10" s="17">
        <v>0</v>
      </c>
      <c r="AA10" s="17">
        <v>12.5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5</v>
      </c>
      <c r="AJ10" s="17">
        <v>6</v>
      </c>
      <c r="AK10" s="17">
        <v>0</v>
      </c>
      <c r="AL10" s="17">
        <v>3459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15.5</v>
      </c>
      <c r="AS10" s="17">
        <v>0</v>
      </c>
      <c r="AT10" s="17">
        <v>0</v>
      </c>
      <c r="AU10" s="17">
        <v>0</v>
      </c>
      <c r="AV10" s="17">
        <v>1129</v>
      </c>
      <c r="AW10" s="17">
        <v>1222.5</v>
      </c>
      <c r="AX10" s="17">
        <v>0</v>
      </c>
      <c r="AY10" s="17">
        <v>0</v>
      </c>
      <c r="AZ10" s="17">
        <v>0</v>
      </c>
      <c r="BA10" s="17">
        <v>0</v>
      </c>
      <c r="BB10" s="17">
        <v>202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154</v>
      </c>
      <c r="CB10" s="17">
        <v>22.5</v>
      </c>
      <c r="CC10" s="17">
        <v>249.5</v>
      </c>
      <c r="CD10" s="17">
        <v>9.5</v>
      </c>
      <c r="CE10" s="17">
        <v>37</v>
      </c>
      <c r="CF10" s="17">
        <v>0</v>
      </c>
      <c r="CG10" s="17">
        <f t="shared" si="0"/>
        <v>7115.5</v>
      </c>
    </row>
    <row r="11" spans="1:85" s="14" customFormat="1" ht="20.399999999999999" customHeight="1" x14ac:dyDescent="0.3">
      <c r="A11" s="64">
        <v>7</v>
      </c>
      <c r="B11" s="113"/>
      <c r="C11" s="59" t="s">
        <v>127</v>
      </c>
      <c r="D11" s="118" t="s">
        <v>118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19.5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19.5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584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2687.5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10</v>
      </c>
      <c r="AS11" s="17">
        <v>0</v>
      </c>
      <c r="AT11" s="17">
        <v>0</v>
      </c>
      <c r="AU11" s="17">
        <v>0</v>
      </c>
      <c r="AV11" s="17">
        <v>1227</v>
      </c>
      <c r="AW11" s="17">
        <v>31.5</v>
      </c>
      <c r="AX11" s="17">
        <v>0</v>
      </c>
      <c r="AY11" s="17">
        <v>0</v>
      </c>
      <c r="AZ11" s="17">
        <v>0</v>
      </c>
      <c r="BA11" s="17">
        <v>0</v>
      </c>
      <c r="BB11" s="17">
        <v>159.5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148.5</v>
      </c>
      <c r="CB11" s="17">
        <v>3</v>
      </c>
      <c r="CC11" s="17">
        <v>144.5</v>
      </c>
      <c r="CD11" s="17">
        <v>20</v>
      </c>
      <c r="CE11" s="17">
        <v>45.5</v>
      </c>
      <c r="CF11" s="17">
        <v>0</v>
      </c>
      <c r="CG11" s="17">
        <f t="shared" si="0"/>
        <v>5100</v>
      </c>
    </row>
    <row r="12" spans="1:85" s="14" customFormat="1" ht="20.399999999999999" customHeight="1" x14ac:dyDescent="0.3">
      <c r="A12" s="64">
        <v>8</v>
      </c>
      <c r="B12" s="116" t="s">
        <v>140</v>
      </c>
      <c r="C12" s="59" t="s">
        <v>141</v>
      </c>
      <c r="D12" s="118" t="s">
        <v>119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25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32.5</v>
      </c>
      <c r="T12" s="17">
        <v>1</v>
      </c>
      <c r="U12" s="17">
        <v>0</v>
      </c>
      <c r="V12" s="17">
        <v>0</v>
      </c>
      <c r="W12" s="17">
        <v>0</v>
      </c>
      <c r="X12" s="17">
        <v>0</v>
      </c>
      <c r="Y12" s="17">
        <v>882</v>
      </c>
      <c r="Z12" s="17">
        <v>0</v>
      </c>
      <c r="AA12" s="17">
        <v>17</v>
      </c>
      <c r="AB12" s="17">
        <v>2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1.5</v>
      </c>
      <c r="AJ12" s="17">
        <v>8.5</v>
      </c>
      <c r="AK12" s="17">
        <v>0</v>
      </c>
      <c r="AL12" s="17">
        <v>3175.5</v>
      </c>
      <c r="AM12" s="17">
        <v>0</v>
      </c>
      <c r="AN12" s="17">
        <v>0</v>
      </c>
      <c r="AO12" s="17">
        <v>0</v>
      </c>
      <c r="AP12" s="17">
        <v>0.5</v>
      </c>
      <c r="AQ12" s="17">
        <v>0</v>
      </c>
      <c r="AR12" s="17">
        <v>22</v>
      </c>
      <c r="AS12" s="17">
        <v>0</v>
      </c>
      <c r="AT12" s="17">
        <v>3</v>
      </c>
      <c r="AU12" s="17">
        <v>0</v>
      </c>
      <c r="AV12" s="17">
        <v>1369.5</v>
      </c>
      <c r="AW12" s="17">
        <v>17325.5</v>
      </c>
      <c r="AX12" s="17">
        <v>0</v>
      </c>
      <c r="AY12" s="17">
        <v>0</v>
      </c>
      <c r="AZ12" s="17">
        <v>0</v>
      </c>
      <c r="BA12" s="17">
        <v>0</v>
      </c>
      <c r="BB12" s="17">
        <v>510.5</v>
      </c>
      <c r="BC12" s="17">
        <v>0</v>
      </c>
      <c r="BD12" s="17">
        <v>0</v>
      </c>
      <c r="BE12" s="17">
        <v>0</v>
      </c>
      <c r="BF12" s="17">
        <v>0.5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165.5</v>
      </c>
      <c r="CB12" s="17">
        <v>36</v>
      </c>
      <c r="CC12" s="17">
        <v>85</v>
      </c>
      <c r="CD12" s="17">
        <v>214.5</v>
      </c>
      <c r="CE12" s="17">
        <v>10.5</v>
      </c>
      <c r="CF12" s="17">
        <v>0</v>
      </c>
      <c r="CG12" s="17">
        <f t="shared" si="0"/>
        <v>23888</v>
      </c>
    </row>
    <row r="13" spans="1:85" s="14" customFormat="1" ht="20.399999999999999" customHeight="1" x14ac:dyDescent="0.3">
      <c r="A13" s="64">
        <v>9</v>
      </c>
      <c r="B13" s="114"/>
      <c r="C13" s="59" t="s">
        <v>142</v>
      </c>
      <c r="D13" s="118" t="s">
        <v>138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97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15.5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1389</v>
      </c>
      <c r="Z13" s="17">
        <v>0</v>
      </c>
      <c r="AA13" s="17">
        <v>19.5</v>
      </c>
      <c r="AB13" s="17">
        <v>22.5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7.5</v>
      </c>
      <c r="AJ13" s="17">
        <v>32</v>
      </c>
      <c r="AK13" s="17">
        <v>0</v>
      </c>
      <c r="AL13" s="17">
        <v>8945</v>
      </c>
      <c r="AM13" s="17">
        <v>0</v>
      </c>
      <c r="AN13" s="17">
        <v>0</v>
      </c>
      <c r="AO13" s="17">
        <v>0</v>
      </c>
      <c r="AP13" s="17">
        <v>1230</v>
      </c>
      <c r="AQ13" s="17">
        <v>0</v>
      </c>
      <c r="AR13" s="17">
        <v>34</v>
      </c>
      <c r="AS13" s="17">
        <v>15</v>
      </c>
      <c r="AT13" s="17">
        <v>3.5</v>
      </c>
      <c r="AU13" s="17">
        <v>0</v>
      </c>
      <c r="AV13" s="17">
        <v>1443</v>
      </c>
      <c r="AW13" s="17">
        <v>10039</v>
      </c>
      <c r="AX13" s="17">
        <v>0</v>
      </c>
      <c r="AY13" s="17">
        <v>0</v>
      </c>
      <c r="AZ13" s="17">
        <v>0</v>
      </c>
      <c r="BA13" s="17">
        <v>0</v>
      </c>
      <c r="BB13" s="17">
        <v>561</v>
      </c>
      <c r="BC13" s="17">
        <v>0</v>
      </c>
      <c r="BD13" s="17">
        <v>0</v>
      </c>
      <c r="BE13" s="17">
        <v>0</v>
      </c>
      <c r="BF13" s="17">
        <v>2.5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366.5</v>
      </c>
      <c r="CB13" s="17">
        <v>122</v>
      </c>
      <c r="CC13" s="17">
        <v>164.5</v>
      </c>
      <c r="CD13" s="17">
        <v>183</v>
      </c>
      <c r="CE13" s="17">
        <v>245.5</v>
      </c>
      <c r="CF13" s="17">
        <v>0</v>
      </c>
      <c r="CG13" s="17">
        <f t="shared" si="0"/>
        <v>24937.5</v>
      </c>
    </row>
    <row r="14" spans="1:85" s="14" customFormat="1" ht="20.399999999999999" customHeight="1" x14ac:dyDescent="0.3">
      <c r="A14" s="64">
        <v>10</v>
      </c>
      <c r="B14" s="114"/>
      <c r="C14" s="59" t="s">
        <v>143</v>
      </c>
      <c r="D14" s="118" t="s">
        <v>118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44.5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0.5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496.5</v>
      </c>
      <c r="Z14" s="17">
        <v>0</v>
      </c>
      <c r="AA14" s="17">
        <v>21.5</v>
      </c>
      <c r="AB14" s="17">
        <v>2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2.5</v>
      </c>
      <c r="AK14" s="17">
        <v>0</v>
      </c>
      <c r="AL14" s="17">
        <v>304</v>
      </c>
      <c r="AM14" s="17">
        <v>0</v>
      </c>
      <c r="AN14" s="17">
        <v>0</v>
      </c>
      <c r="AO14" s="17">
        <v>0</v>
      </c>
      <c r="AP14" s="17">
        <v>43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578.5</v>
      </c>
      <c r="AW14" s="17">
        <v>6099</v>
      </c>
      <c r="AX14" s="17">
        <v>0</v>
      </c>
      <c r="AY14" s="17">
        <v>0</v>
      </c>
      <c r="AZ14" s="17">
        <v>0</v>
      </c>
      <c r="BA14" s="17">
        <v>0</v>
      </c>
      <c r="BB14" s="17">
        <v>518.5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108</v>
      </c>
      <c r="CB14" s="17">
        <v>1.5</v>
      </c>
      <c r="CC14" s="17">
        <v>76.5</v>
      </c>
      <c r="CD14" s="17">
        <v>132.5</v>
      </c>
      <c r="CE14" s="17">
        <v>9</v>
      </c>
      <c r="CF14" s="17">
        <v>0</v>
      </c>
      <c r="CG14" s="17">
        <f t="shared" si="0"/>
        <v>8438</v>
      </c>
    </row>
    <row r="15" spans="1:85" s="14" customFormat="1" ht="20.399999999999999" customHeight="1" x14ac:dyDescent="0.3">
      <c r="A15" s="64">
        <v>11</v>
      </c>
      <c r="B15" s="114"/>
      <c r="C15" s="59" t="s">
        <v>144</v>
      </c>
      <c r="D15" s="118" t="s">
        <v>116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33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140.5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114.5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7.5</v>
      </c>
      <c r="AJ15" s="17">
        <v>12.5</v>
      </c>
      <c r="AK15" s="17">
        <v>0</v>
      </c>
      <c r="AL15" s="17">
        <v>12917.5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65.5</v>
      </c>
      <c r="AS15" s="17">
        <v>0</v>
      </c>
      <c r="AT15" s="17">
        <v>0</v>
      </c>
      <c r="AU15" s="17">
        <v>0</v>
      </c>
      <c r="AV15" s="17">
        <v>599.5</v>
      </c>
      <c r="AW15" s="17">
        <v>3122.5</v>
      </c>
      <c r="AX15" s="17">
        <v>0</v>
      </c>
      <c r="AY15" s="17">
        <v>0</v>
      </c>
      <c r="AZ15" s="17">
        <v>0</v>
      </c>
      <c r="BA15" s="17">
        <v>0</v>
      </c>
      <c r="BB15" s="17">
        <v>251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166.5</v>
      </c>
      <c r="CB15" s="17">
        <v>116.5</v>
      </c>
      <c r="CC15" s="17">
        <v>224.5</v>
      </c>
      <c r="CD15" s="17">
        <v>235.5</v>
      </c>
      <c r="CE15" s="17">
        <v>1431.5</v>
      </c>
      <c r="CF15" s="17">
        <v>0</v>
      </c>
      <c r="CG15" s="17">
        <f t="shared" si="0"/>
        <v>19438.5</v>
      </c>
    </row>
    <row r="16" spans="1:85" s="14" customFormat="1" ht="20.399999999999999" customHeight="1" x14ac:dyDescent="0.3">
      <c r="A16" s="64">
        <v>12</v>
      </c>
      <c r="B16" s="114"/>
      <c r="C16" s="59" t="s">
        <v>145</v>
      </c>
      <c r="D16" s="118" t="s">
        <v>111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31.5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38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504</v>
      </c>
      <c r="Z16" s="17">
        <v>0</v>
      </c>
      <c r="AA16" s="17">
        <v>30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4.5</v>
      </c>
      <c r="AJ16" s="17">
        <v>12</v>
      </c>
      <c r="AK16" s="17">
        <v>0</v>
      </c>
      <c r="AL16" s="17">
        <v>2765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17</v>
      </c>
      <c r="AS16" s="17">
        <v>7</v>
      </c>
      <c r="AT16" s="17">
        <v>4</v>
      </c>
      <c r="AU16" s="17">
        <v>0</v>
      </c>
      <c r="AV16" s="17">
        <v>394.5</v>
      </c>
      <c r="AW16" s="17">
        <v>1220.5</v>
      </c>
      <c r="AX16" s="17">
        <v>0</v>
      </c>
      <c r="AY16" s="17">
        <v>0</v>
      </c>
      <c r="AZ16" s="17">
        <v>0</v>
      </c>
      <c r="BA16" s="17">
        <v>0</v>
      </c>
      <c r="BB16" s="17">
        <v>198.5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312</v>
      </c>
      <c r="CB16" s="17">
        <v>11</v>
      </c>
      <c r="CC16" s="17">
        <v>275</v>
      </c>
      <c r="CD16" s="17">
        <v>177</v>
      </c>
      <c r="CE16" s="17">
        <v>100</v>
      </c>
      <c r="CF16" s="17">
        <v>0</v>
      </c>
      <c r="CG16" s="17">
        <f t="shared" si="0"/>
        <v>6101.5</v>
      </c>
    </row>
    <row r="17" spans="1:85" s="14" customFormat="1" ht="20.399999999999999" customHeight="1" x14ac:dyDescent="0.3">
      <c r="A17" s="64">
        <v>13</v>
      </c>
      <c r="B17" s="115"/>
      <c r="C17" s="59" t="s">
        <v>146</v>
      </c>
      <c r="D17" s="118" t="s">
        <v>111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50.5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8.5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315</v>
      </c>
      <c r="Z17" s="17">
        <v>0</v>
      </c>
      <c r="AA17" s="17">
        <v>66.5</v>
      </c>
      <c r="AB17" s="17">
        <v>1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20</v>
      </c>
      <c r="AK17" s="17">
        <v>0</v>
      </c>
      <c r="AL17" s="17">
        <v>5181.5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25.5</v>
      </c>
      <c r="AS17" s="17">
        <v>0</v>
      </c>
      <c r="AT17" s="17">
        <v>0</v>
      </c>
      <c r="AU17" s="17">
        <v>0</v>
      </c>
      <c r="AV17" s="17">
        <v>260</v>
      </c>
      <c r="AW17" s="17">
        <v>1624.5</v>
      </c>
      <c r="AX17" s="17">
        <v>0</v>
      </c>
      <c r="AY17" s="17">
        <v>0</v>
      </c>
      <c r="AZ17" s="17">
        <v>0</v>
      </c>
      <c r="BA17" s="17">
        <v>0</v>
      </c>
      <c r="BB17" s="17">
        <v>197.5</v>
      </c>
      <c r="BC17" s="17">
        <v>0</v>
      </c>
      <c r="BD17" s="17">
        <v>0</v>
      </c>
      <c r="BE17" s="17">
        <v>0</v>
      </c>
      <c r="BF17" s="17">
        <v>1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170.5</v>
      </c>
      <c r="CB17" s="17">
        <v>38</v>
      </c>
      <c r="CC17" s="17">
        <v>160</v>
      </c>
      <c r="CD17" s="17">
        <v>87.5</v>
      </c>
      <c r="CE17" s="17">
        <v>192</v>
      </c>
      <c r="CF17" s="17">
        <v>0</v>
      </c>
      <c r="CG17" s="17">
        <f t="shared" si="0"/>
        <v>8399.5</v>
      </c>
    </row>
    <row r="18" spans="1:85" s="14" customFormat="1" ht="17.100000000000001" customHeight="1" x14ac:dyDescent="0.3">
      <c r="A18" s="61"/>
      <c r="B18" s="44"/>
      <c r="C18" s="37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</row>
    <row r="19" spans="1:85" ht="17.100000000000001" customHeight="1" x14ac:dyDescent="0.3">
      <c r="A19" s="54"/>
      <c r="B19" s="39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</row>
    <row r="20" spans="1:85" ht="17.100000000000001" customHeight="1" x14ac:dyDescent="0.3">
      <c r="A20" s="54"/>
      <c r="B20" s="39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</row>
    <row r="21" spans="1:85" ht="17.100000000000001" customHeight="1" x14ac:dyDescent="0.3">
      <c r="A21" s="54"/>
      <c r="B21" s="39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</row>
    <row r="22" spans="1:85" ht="17.100000000000001" customHeight="1" x14ac:dyDescent="0.3">
      <c r="A22" s="54"/>
      <c r="B22" s="39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</row>
    <row r="23" spans="1:85" ht="17.100000000000001" customHeight="1" x14ac:dyDescent="0.3">
      <c r="A23" s="54"/>
      <c r="B23" s="39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</row>
    <row r="24" spans="1:85" ht="17.100000000000001" customHeight="1" x14ac:dyDescent="0.3">
      <c r="A24" s="54"/>
      <c r="B24" s="39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</row>
    <row r="25" spans="1:85" ht="17.100000000000001" customHeight="1" x14ac:dyDescent="0.3">
      <c r="A25" s="54"/>
      <c r="B25" s="39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</row>
    <row r="26" spans="1:85" ht="17.100000000000001" customHeight="1" x14ac:dyDescent="0.3">
      <c r="A26" s="54"/>
      <c r="B26" s="39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</row>
    <row r="27" spans="1:85" ht="17.100000000000001" customHeight="1" x14ac:dyDescent="0.3">
      <c r="A27" s="54"/>
      <c r="B27" s="39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</row>
    <row r="28" spans="1:85" ht="17.100000000000001" customHeight="1" x14ac:dyDescent="0.3">
      <c r="A28" s="54"/>
    </row>
    <row r="29" spans="1:85" ht="17.100000000000001" customHeight="1" x14ac:dyDescent="0.3">
      <c r="A29" s="54"/>
    </row>
    <row r="30" spans="1:85" ht="17.100000000000001" customHeight="1" x14ac:dyDescent="0.3">
      <c r="A30" s="54"/>
    </row>
    <row r="31" spans="1:85" ht="17.100000000000001" customHeight="1" x14ac:dyDescent="0.3">
      <c r="A31" s="54"/>
    </row>
    <row r="32" spans="1:85" ht="17.100000000000001" customHeight="1" x14ac:dyDescent="0.3">
      <c r="A32" s="54"/>
    </row>
    <row r="33" spans="1:1" ht="17.100000000000001" customHeight="1" x14ac:dyDescent="0.3">
      <c r="A33" s="55"/>
    </row>
    <row r="34" spans="1:1" ht="17.100000000000001" customHeight="1" x14ac:dyDescent="0.3">
      <c r="A34" s="38"/>
    </row>
    <row r="35" spans="1:1" ht="17.100000000000001" customHeight="1" x14ac:dyDescent="0.3">
      <c r="A35" s="38"/>
    </row>
    <row r="36" spans="1:1" ht="17.100000000000001" customHeight="1" x14ac:dyDescent="0.3">
      <c r="A36" s="38"/>
    </row>
    <row r="37" spans="1:1" ht="17.100000000000001" customHeight="1" x14ac:dyDescent="0.3">
      <c r="A37" s="38"/>
    </row>
    <row r="38" spans="1:1" ht="17.100000000000001" customHeight="1" x14ac:dyDescent="0.3">
      <c r="A38" s="38"/>
    </row>
    <row r="39" spans="1:1" ht="17.100000000000001" customHeight="1" x14ac:dyDescent="0.3">
      <c r="A39" s="38"/>
    </row>
    <row r="40" spans="1:1" ht="17.100000000000001" customHeight="1" x14ac:dyDescent="0.3">
      <c r="A40" s="38"/>
    </row>
    <row r="41" spans="1:1" ht="17.100000000000001" customHeight="1" x14ac:dyDescent="0.3">
      <c r="A41" s="38"/>
    </row>
    <row r="42" spans="1:1" ht="17.100000000000001" customHeight="1" x14ac:dyDescent="0.3">
      <c r="A42" s="38"/>
    </row>
  </sheetData>
  <mergeCells count="10">
    <mergeCell ref="B5:B11"/>
    <mergeCell ref="B12:B17"/>
    <mergeCell ref="A1:CG1"/>
    <mergeCell ref="A3:A4"/>
    <mergeCell ref="C3:C4"/>
    <mergeCell ref="D3:D4"/>
    <mergeCell ref="CG3:CG4"/>
    <mergeCell ref="A2:D2"/>
    <mergeCell ref="E2:CG2"/>
    <mergeCell ref="B3:B4"/>
  </mergeCells>
  <pageMargins left="0.11811023622047245" right="0.11811023622047245" top="0.11811023622047245" bottom="0.11811023622047245" header="0.11811023622047245" footer="0.11811023622047245"/>
  <pageSetup paperSize="5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Catch</vt:lpstr>
      <vt:lpstr>Jetty</vt:lpstr>
      <vt:lpstr>Att-3</vt:lpstr>
      <vt:lpstr>ကမ်းဝေး(ဝိုင်းချုပ်)</vt:lpstr>
      <vt:lpstr>Catch!Print_Titles</vt:lpstr>
      <vt:lpstr>Jetty!Print_Titles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2026-10-11T07:54:08Z</dcterms:modified>
</cp:coreProperties>
</file>